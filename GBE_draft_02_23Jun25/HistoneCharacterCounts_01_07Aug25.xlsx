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ful870/Downloads/2025-08-06_GBE/"/>
    </mc:Choice>
  </mc:AlternateContent>
  <xr:revisionPtr revIDLastSave="0" documentId="13_ncr:1_{D45BFD56-DD03-AD47-B61F-0799B47BA811}" xr6:coauthVersionLast="47" xr6:coauthVersionMax="47" xr10:uidLastSave="{00000000-0000-0000-0000-000000000000}"/>
  <bookViews>
    <workbookView xWindow="380" yWindow="500" windowWidth="28040" windowHeight="15820" xr2:uid="{0A232AD0-EE15-644D-9B17-F9F78FA2CABA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4" i="2" l="1"/>
  <c r="AJ5" i="2" s="1"/>
  <c r="AJ6" i="2" s="1"/>
  <c r="AJ7" i="2" s="1"/>
  <c r="AJ8" i="2" s="1"/>
  <c r="AJ9" i="2" s="1"/>
  <c r="AJ10" i="2" s="1"/>
  <c r="AJ11" i="2" s="1"/>
  <c r="AJ12" i="2" s="1"/>
  <c r="AJ13" i="2" s="1"/>
  <c r="AJ14" i="2" s="1"/>
  <c r="AJ15" i="2" s="1"/>
  <c r="AJ16" i="2" s="1"/>
  <c r="AJ17" i="2" s="1"/>
  <c r="AJ18" i="2" s="1"/>
  <c r="AJ19" i="2" s="1"/>
  <c r="AJ20" i="2" s="1"/>
  <c r="AJ21" i="2" s="1"/>
  <c r="AJ22" i="2" s="1"/>
  <c r="AA4" i="2"/>
  <c r="AA5" i="2" s="1"/>
  <c r="AA6" i="2" s="1"/>
  <c r="AA7" i="2" s="1"/>
  <c r="AA8" i="2" s="1"/>
  <c r="AA9" i="2" s="1"/>
  <c r="AA10" i="2" s="1"/>
  <c r="AA11" i="2" s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R4" i="2"/>
  <c r="R5" i="2" s="1"/>
  <c r="R6" i="2" s="1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H4" i="2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T4" i="1"/>
  <c r="T5" i="1" s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X4" i="1"/>
  <c r="X5" i="1" s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P4" i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C25" i="1"/>
  <c r="D25" i="1"/>
  <c r="E25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3" i="1"/>
</calcChain>
</file>

<file path=xl/sharedStrings.xml><?xml version="1.0" encoding="utf-8"?>
<sst xmlns="http://schemas.openxmlformats.org/spreadsheetml/2006/main" count="357" uniqueCount="30">
  <si>
    <t>pi(A)</t>
  </si>
  <si>
    <t>=</t>
  </si>
  <si>
    <t>pi(R)</t>
  </si>
  <si>
    <t>pi(N)</t>
  </si>
  <si>
    <t>pi(D)</t>
  </si>
  <si>
    <t>pi(C)</t>
  </si>
  <si>
    <t>pi(Q)</t>
  </si>
  <si>
    <t>pi(E)</t>
  </si>
  <si>
    <t>pi(G)</t>
  </si>
  <si>
    <t>pi(H)</t>
  </si>
  <si>
    <t>pi(I)</t>
  </si>
  <si>
    <t>pi(L)</t>
  </si>
  <si>
    <t>pi(K)</t>
  </si>
  <si>
    <t>pi(M)</t>
  </si>
  <si>
    <t>pi(F)</t>
  </si>
  <si>
    <t>pi(P)</t>
  </si>
  <si>
    <t>pi(S)</t>
  </si>
  <si>
    <t>pi(T)</t>
  </si>
  <si>
    <t>pi(W)</t>
  </si>
  <si>
    <t>pi(Y)</t>
  </si>
  <si>
    <t>pi(V)</t>
  </si>
  <si>
    <t>a_38_1</t>
  </si>
  <si>
    <t>a_35_1</t>
  </si>
  <si>
    <t>a_39_2</t>
  </si>
  <si>
    <t>avg</t>
  </si>
  <si>
    <t>3 most comon</t>
  </si>
  <si>
    <t>C_124_1</t>
  </si>
  <si>
    <t>d_122_1</t>
  </si>
  <si>
    <t>c_110_1</t>
  </si>
  <si>
    <t>b_122_1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</si>
</sst>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9" fontId="0" fillId="0" borderId="0" xfId="1" applyFont="1"/>
    <xf numFmtId="0" fontId="0" fillId="2" borderId="0" xfId="0" applyFill="1"/>
    <xf numFmtId="9" fontId="0" fillId="2" borderId="0" xfId="1" applyFont="1" applyFill="1"/>
    <xf numFmtId="0" fontId="0" fillId="0" borderId="1" xfId="0" applyBorder="1"/>
    <xf numFmtId="9" fontId="0" fillId="0" borderId="0" xfId="0" applyNumberFormat="1"/>
    <xf numFmtId="0" fontId="0" fillId="0" borderId="0" xfId="0" applyBorder="1"/>
    <xf numFmtId="164" fontId="0" fillId="0" borderId="0" xfId="0" applyNumberFormat="1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0" fontId="0" fillId="0" borderId="0" xfId="0" applyNumberFormat="1"/>
    <xf numFmtId="10" fontId="0" fillId="2" borderId="0" xfId="0" applyNumberFormat="1" applyFill="1"/>
    <xf numFmtId="10" fontId="0" fillId="3" borderId="0" xfId="0" applyNumberFormat="1" applyFill="1"/>
    <xf numFmtId="10" fontId="0" fillId="4" borderId="0" xfId="0" applyNumberFormat="1" applyFill="1"/>
    <xf numFmtId="10" fontId="0" fillId="0" borderId="0" xfId="1" applyNumberFormat="1" applyFont="1"/>
  </cellXfs>
  <cellStyles count="2">
    <cellStyle name="Normal" xfId="0" builtinId="0"/>
    <cellStyle name="Per cent" xfId="1" builtinId="5"/>
  </cellStyles>
  <dxfs count="9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C80E6-4F72-1E46-808E-434FF2579D64}">
  <dimension ref="B2:X25"/>
  <sheetViews>
    <sheetView tabSelected="1" workbookViewId="0">
      <selection activeCell="I2" sqref="I2"/>
    </sheetView>
  </sheetViews>
  <sheetFormatPr baseColWidth="10" defaultRowHeight="16" x14ac:dyDescent="0.2"/>
  <sheetData>
    <row r="2" spans="2:24" x14ac:dyDescent="0.2">
      <c r="C2" s="4" t="s">
        <v>22</v>
      </c>
      <c r="D2" s="4" t="s">
        <v>21</v>
      </c>
      <c r="E2" s="4" t="s">
        <v>23</v>
      </c>
      <c r="F2" s="4" t="s">
        <v>24</v>
      </c>
      <c r="J2" s="4"/>
      <c r="K2" s="4" t="s">
        <v>24</v>
      </c>
      <c r="O2" s="4" t="s">
        <v>22</v>
      </c>
      <c r="S2" s="4" t="s">
        <v>21</v>
      </c>
      <c r="T2" s="6"/>
      <c r="W2" s="4" t="s">
        <v>23</v>
      </c>
    </row>
    <row r="3" spans="2:24" x14ac:dyDescent="0.2">
      <c r="B3" t="s">
        <v>0</v>
      </c>
      <c r="C3" s="1">
        <v>9.7500000000000003E-2</v>
      </c>
      <c r="D3" s="1">
        <v>8.6099999999999996E-2</v>
      </c>
      <c r="E3" s="1">
        <v>7.2999999999999995E-2</v>
      </c>
      <c r="F3" s="1">
        <f>AVERAGE(C3:E3)</f>
        <v>8.5533333333333336E-2</v>
      </c>
      <c r="J3" s="2" t="s">
        <v>11</v>
      </c>
      <c r="K3" s="3">
        <v>0.10436666666666666</v>
      </c>
      <c r="N3" s="2" t="s">
        <v>11</v>
      </c>
      <c r="O3" s="15">
        <v>0.1132</v>
      </c>
      <c r="R3" s="2" t="s">
        <v>11</v>
      </c>
      <c r="S3" s="15">
        <v>0.12330000000000001</v>
      </c>
      <c r="T3" s="1"/>
      <c r="V3" t="s">
        <v>12</v>
      </c>
      <c r="W3" s="15">
        <v>0.09</v>
      </c>
      <c r="X3" s="11"/>
    </row>
    <row r="4" spans="2:24" x14ac:dyDescent="0.2">
      <c r="B4" t="s">
        <v>2</v>
      </c>
      <c r="C4" s="1">
        <v>7.7499999999999999E-2</v>
      </c>
      <c r="D4" s="1">
        <v>0.1057</v>
      </c>
      <c r="E4" s="1">
        <v>2.98E-2</v>
      </c>
      <c r="F4" s="1">
        <f t="shared" ref="F4:F22" si="0">AVERAGE(C4:E4)</f>
        <v>7.0999999999999994E-2</v>
      </c>
      <c r="J4" t="s">
        <v>12</v>
      </c>
      <c r="K4" s="1">
        <v>9.3499999999999986E-2</v>
      </c>
      <c r="N4" t="s">
        <v>0</v>
      </c>
      <c r="O4" s="15">
        <v>9.7500000000000003E-2</v>
      </c>
      <c r="P4" s="7">
        <f>O4+O3</f>
        <v>0.2107</v>
      </c>
      <c r="R4" t="s">
        <v>12</v>
      </c>
      <c r="S4" s="15">
        <v>0.11550000000000001</v>
      </c>
      <c r="T4" s="11">
        <f>S4+S3</f>
        <v>0.23880000000000001</v>
      </c>
      <c r="V4" t="s">
        <v>7</v>
      </c>
      <c r="W4" s="15">
        <v>8.6400000000000005E-2</v>
      </c>
      <c r="X4" s="11">
        <f>W4+W3</f>
        <v>0.1764</v>
      </c>
    </row>
    <row r="5" spans="2:24" x14ac:dyDescent="0.2">
      <c r="B5" t="s">
        <v>3</v>
      </c>
      <c r="C5" s="1">
        <v>4.3299999999999998E-2</v>
      </c>
      <c r="D5" s="1">
        <v>5.4800000000000001E-2</v>
      </c>
      <c r="E5" s="1">
        <v>4.3799999999999999E-2</v>
      </c>
      <c r="F5" s="1">
        <f t="shared" si="0"/>
        <v>4.7300000000000002E-2</v>
      </c>
      <c r="J5" t="s">
        <v>0</v>
      </c>
      <c r="K5" s="1">
        <v>8.5533333333333336E-2</v>
      </c>
      <c r="N5" t="s">
        <v>7</v>
      </c>
      <c r="O5" s="15">
        <v>8.6099999999999996E-2</v>
      </c>
      <c r="P5" s="8">
        <f>O5+P4</f>
        <v>0.29680000000000001</v>
      </c>
      <c r="R5" t="s">
        <v>2</v>
      </c>
      <c r="S5" s="15">
        <v>0.1057</v>
      </c>
      <c r="T5" s="12">
        <f>S5+T4</f>
        <v>0.34450000000000003</v>
      </c>
      <c r="V5" s="2" t="s">
        <v>4</v>
      </c>
      <c r="W5" s="15">
        <v>8.5199999999999998E-2</v>
      </c>
      <c r="X5" s="12">
        <f>W5+X4</f>
        <v>0.2616</v>
      </c>
    </row>
    <row r="6" spans="2:24" x14ac:dyDescent="0.2">
      <c r="B6" t="s">
        <v>4</v>
      </c>
      <c r="C6" s="1">
        <v>3.7900000000000003E-2</v>
      </c>
      <c r="D6" s="1">
        <v>4.4999999999999998E-2</v>
      </c>
      <c r="E6" s="1">
        <v>8.5199999999999998E-2</v>
      </c>
      <c r="F6" s="1">
        <f t="shared" si="0"/>
        <v>5.6033333333333331E-2</v>
      </c>
      <c r="J6" t="s">
        <v>7</v>
      </c>
      <c r="K6" s="1">
        <v>8.1633333333333336E-2</v>
      </c>
      <c r="N6" t="s">
        <v>2</v>
      </c>
      <c r="O6" s="15">
        <v>7.7499999999999999E-2</v>
      </c>
      <c r="P6" s="9">
        <f t="shared" ref="P6:P22" si="1">O6+P5</f>
        <v>0.37430000000000002</v>
      </c>
      <c r="R6" t="s">
        <v>0</v>
      </c>
      <c r="S6" s="15">
        <v>8.6099999999999996E-2</v>
      </c>
      <c r="T6" s="13">
        <f t="shared" ref="T6:T22" si="2">S6+T5</f>
        <v>0.43060000000000004</v>
      </c>
      <c r="V6" s="2" t="s">
        <v>11</v>
      </c>
      <c r="W6" s="15">
        <v>7.6600000000000001E-2</v>
      </c>
      <c r="X6" s="13">
        <f t="shared" ref="X6:X22" si="3">W6+X5</f>
        <v>0.3382</v>
      </c>
    </row>
    <row r="7" spans="2:24" x14ac:dyDescent="0.2">
      <c r="B7" t="s">
        <v>5</v>
      </c>
      <c r="C7" s="1">
        <v>7.3000000000000001E-3</v>
      </c>
      <c r="D7" s="1">
        <v>3.8999999999999998E-3</v>
      </c>
      <c r="E7" s="1">
        <v>4.6199999999999998E-2</v>
      </c>
      <c r="F7" s="1">
        <f t="shared" si="0"/>
        <v>1.9133333333333332E-2</v>
      </c>
      <c r="J7" t="s">
        <v>2</v>
      </c>
      <c r="K7" s="1">
        <v>7.0999999999999994E-2</v>
      </c>
      <c r="N7" t="s">
        <v>12</v>
      </c>
      <c r="O7" s="15">
        <v>7.4999999999999997E-2</v>
      </c>
      <c r="P7" s="10">
        <f t="shared" si="1"/>
        <v>0.44930000000000003</v>
      </c>
      <c r="R7" t="s">
        <v>7</v>
      </c>
      <c r="S7" s="15">
        <v>7.2400000000000006E-2</v>
      </c>
      <c r="T7" s="14">
        <f t="shared" si="2"/>
        <v>0.503</v>
      </c>
      <c r="V7" t="s">
        <v>0</v>
      </c>
      <c r="W7" s="15">
        <v>7.2999999999999995E-2</v>
      </c>
      <c r="X7" s="14">
        <f t="shared" si="3"/>
        <v>0.41120000000000001</v>
      </c>
    </row>
    <row r="8" spans="2:24" x14ac:dyDescent="0.2">
      <c r="B8" t="s">
        <v>6</v>
      </c>
      <c r="C8" s="1">
        <v>5.1499999999999997E-2</v>
      </c>
      <c r="D8" s="1">
        <v>6.6500000000000004E-2</v>
      </c>
      <c r="E8" s="1">
        <v>2.7400000000000001E-2</v>
      </c>
      <c r="F8" s="1">
        <f t="shared" si="0"/>
        <v>4.8466666666666665E-2</v>
      </c>
      <c r="J8" t="s">
        <v>16</v>
      </c>
      <c r="K8" s="1">
        <v>6.133333333333333E-2</v>
      </c>
      <c r="N8" t="s">
        <v>16</v>
      </c>
      <c r="O8" s="15">
        <v>6.54E-2</v>
      </c>
      <c r="P8" s="7">
        <f t="shared" si="1"/>
        <v>0.51470000000000005</v>
      </c>
      <c r="R8" t="s">
        <v>16</v>
      </c>
      <c r="S8" s="15">
        <v>7.2400000000000006E-2</v>
      </c>
      <c r="T8" s="11">
        <f t="shared" si="2"/>
        <v>0.57540000000000002</v>
      </c>
      <c r="V8" s="2" t="s">
        <v>20</v>
      </c>
      <c r="W8" s="15">
        <v>6.2700000000000006E-2</v>
      </c>
      <c r="X8" s="11">
        <f t="shared" si="3"/>
        <v>0.47389999999999999</v>
      </c>
    </row>
    <row r="9" spans="2:24" x14ac:dyDescent="0.2">
      <c r="B9" t="s">
        <v>7</v>
      </c>
      <c r="C9" s="1">
        <v>8.6099999999999996E-2</v>
      </c>
      <c r="D9" s="1">
        <v>7.2400000000000006E-2</v>
      </c>
      <c r="E9" s="1">
        <v>8.6400000000000005E-2</v>
      </c>
      <c r="F9" s="1">
        <f t="shared" si="0"/>
        <v>8.1633333333333336E-2</v>
      </c>
      <c r="J9" s="2" t="s">
        <v>4</v>
      </c>
      <c r="K9" s="3">
        <v>5.6033333333333331E-2</v>
      </c>
      <c r="N9" s="2" t="s">
        <v>20</v>
      </c>
      <c r="O9" s="15">
        <v>5.7200000000000001E-2</v>
      </c>
      <c r="P9" s="7">
        <f t="shared" si="1"/>
        <v>0.57190000000000007</v>
      </c>
      <c r="R9" t="s">
        <v>6</v>
      </c>
      <c r="S9" s="15">
        <v>6.6500000000000004E-2</v>
      </c>
      <c r="T9" s="11">
        <f t="shared" si="2"/>
        <v>0.64190000000000003</v>
      </c>
      <c r="V9" t="s">
        <v>13</v>
      </c>
      <c r="W9" s="15">
        <v>4.6800000000000001E-2</v>
      </c>
      <c r="X9" s="11">
        <f t="shared" si="3"/>
        <v>0.52069999999999994</v>
      </c>
    </row>
    <row r="10" spans="2:24" x14ac:dyDescent="0.2">
      <c r="B10" t="s">
        <v>8</v>
      </c>
      <c r="C10" s="1">
        <v>4.8300000000000003E-2</v>
      </c>
      <c r="D10" s="1">
        <v>1.7600000000000001E-2</v>
      </c>
      <c r="E10" s="1">
        <v>4.3200000000000002E-2</v>
      </c>
      <c r="F10" s="1">
        <f t="shared" si="0"/>
        <v>3.6366666666666665E-2</v>
      </c>
      <c r="J10" s="2" t="s">
        <v>20</v>
      </c>
      <c r="K10" s="3">
        <v>5.2999999999999999E-2</v>
      </c>
      <c r="N10" t="s">
        <v>10</v>
      </c>
      <c r="O10" s="15">
        <v>5.6500000000000002E-2</v>
      </c>
      <c r="P10" s="7">
        <f t="shared" si="1"/>
        <v>0.62840000000000007</v>
      </c>
      <c r="R10" t="s">
        <v>3</v>
      </c>
      <c r="S10" s="15">
        <v>5.4800000000000001E-2</v>
      </c>
      <c r="T10" s="11">
        <f t="shared" si="2"/>
        <v>0.69669999999999999</v>
      </c>
      <c r="V10" t="s">
        <v>5</v>
      </c>
      <c r="W10" s="15">
        <v>4.6199999999999998E-2</v>
      </c>
      <c r="X10" s="11">
        <f t="shared" si="3"/>
        <v>0.56689999999999996</v>
      </c>
    </row>
    <row r="11" spans="2:24" x14ac:dyDescent="0.2">
      <c r="B11" t="s">
        <v>9</v>
      </c>
      <c r="C11" s="1">
        <v>1.1900000000000001E-2</v>
      </c>
      <c r="D11" s="1">
        <v>4.3099999999999999E-2</v>
      </c>
      <c r="E11" s="1">
        <v>3.6499999999999998E-2</v>
      </c>
      <c r="F11" s="1">
        <f t="shared" si="0"/>
        <v>3.0499999999999999E-2</v>
      </c>
      <c r="J11" t="s">
        <v>10</v>
      </c>
      <c r="K11" s="1">
        <v>5.0633333333333336E-2</v>
      </c>
      <c r="N11" t="s">
        <v>6</v>
      </c>
      <c r="O11" s="15">
        <v>5.1499999999999997E-2</v>
      </c>
      <c r="P11" s="7">
        <f t="shared" si="1"/>
        <v>0.67990000000000006</v>
      </c>
      <c r="R11" t="s">
        <v>10</v>
      </c>
      <c r="S11" s="15">
        <v>5.28E-2</v>
      </c>
      <c r="T11" s="11">
        <f t="shared" si="2"/>
        <v>0.74949999999999994</v>
      </c>
      <c r="V11" t="s">
        <v>16</v>
      </c>
      <c r="W11" s="15">
        <v>4.6199999999999998E-2</v>
      </c>
      <c r="X11" s="11">
        <f t="shared" si="3"/>
        <v>0.61309999999999998</v>
      </c>
    </row>
    <row r="12" spans="2:24" x14ac:dyDescent="0.2">
      <c r="B12" t="s">
        <v>10</v>
      </c>
      <c r="C12" s="1">
        <v>5.6500000000000002E-2</v>
      </c>
      <c r="D12" s="1">
        <v>5.28E-2</v>
      </c>
      <c r="E12" s="1">
        <v>4.2599999999999999E-2</v>
      </c>
      <c r="F12" s="1">
        <f t="shared" si="0"/>
        <v>5.0633333333333336E-2</v>
      </c>
      <c r="J12" t="s">
        <v>6</v>
      </c>
      <c r="K12" s="1">
        <v>4.8466666666666665E-2</v>
      </c>
      <c r="N12" t="s">
        <v>17</v>
      </c>
      <c r="O12" s="15">
        <v>4.9700000000000001E-2</v>
      </c>
      <c r="P12" s="7">
        <f t="shared" si="1"/>
        <v>0.72960000000000003</v>
      </c>
      <c r="R12" s="2" t="s">
        <v>4</v>
      </c>
      <c r="S12" s="15">
        <v>4.4999999999999998E-2</v>
      </c>
      <c r="T12" s="11">
        <f t="shared" si="2"/>
        <v>0.79449999999999998</v>
      </c>
      <c r="V12" t="s">
        <v>17</v>
      </c>
      <c r="W12" s="15">
        <v>4.4400000000000002E-2</v>
      </c>
      <c r="X12" s="11">
        <f t="shared" si="3"/>
        <v>0.65749999999999997</v>
      </c>
    </row>
    <row r="13" spans="2:24" x14ac:dyDescent="0.2">
      <c r="B13" t="s">
        <v>11</v>
      </c>
      <c r="C13" s="1">
        <v>0.1132</v>
      </c>
      <c r="D13" s="1">
        <v>0.12330000000000001</v>
      </c>
      <c r="E13" s="1">
        <v>7.6600000000000001E-2</v>
      </c>
      <c r="F13" s="1">
        <f t="shared" si="0"/>
        <v>0.10436666666666666</v>
      </c>
      <c r="J13" t="s">
        <v>3</v>
      </c>
      <c r="K13" s="1">
        <v>4.7300000000000002E-2</v>
      </c>
      <c r="N13" t="s">
        <v>8</v>
      </c>
      <c r="O13" s="15">
        <v>4.8300000000000003E-2</v>
      </c>
      <c r="P13" s="7">
        <f t="shared" si="1"/>
        <v>0.77790000000000004</v>
      </c>
      <c r="R13" t="s">
        <v>9</v>
      </c>
      <c r="S13" s="15">
        <v>4.3099999999999999E-2</v>
      </c>
      <c r="T13" s="11">
        <f t="shared" si="2"/>
        <v>0.83760000000000001</v>
      </c>
      <c r="V13" t="s">
        <v>3</v>
      </c>
      <c r="W13" s="15">
        <v>4.3799999999999999E-2</v>
      </c>
      <c r="X13" s="11">
        <f t="shared" si="3"/>
        <v>0.70129999999999992</v>
      </c>
    </row>
    <row r="14" spans="2:24" x14ac:dyDescent="0.2">
      <c r="B14" t="s">
        <v>12</v>
      </c>
      <c r="C14" s="1">
        <v>7.4999999999999997E-2</v>
      </c>
      <c r="D14" s="1">
        <v>0.11550000000000001</v>
      </c>
      <c r="E14" s="1">
        <v>0.09</v>
      </c>
      <c r="F14" s="1">
        <f t="shared" si="0"/>
        <v>9.3499999999999986E-2</v>
      </c>
      <c r="J14" t="s">
        <v>17</v>
      </c>
      <c r="K14" s="1">
        <v>4.4400000000000002E-2</v>
      </c>
      <c r="N14" t="s">
        <v>3</v>
      </c>
      <c r="O14" s="15">
        <v>4.3299999999999998E-2</v>
      </c>
      <c r="P14" s="7">
        <f t="shared" si="1"/>
        <v>0.82120000000000004</v>
      </c>
      <c r="R14" t="s">
        <v>17</v>
      </c>
      <c r="S14" s="15">
        <v>3.9100000000000003E-2</v>
      </c>
      <c r="T14" s="11">
        <f t="shared" si="2"/>
        <v>0.87670000000000003</v>
      </c>
      <c r="V14" t="s">
        <v>15</v>
      </c>
      <c r="W14" s="15">
        <v>4.3799999999999999E-2</v>
      </c>
      <c r="X14" s="11">
        <f t="shared" si="3"/>
        <v>0.74509999999999987</v>
      </c>
    </row>
    <row r="15" spans="2:24" x14ac:dyDescent="0.2">
      <c r="B15" t="s">
        <v>13</v>
      </c>
      <c r="C15" s="1">
        <v>2.3699999999999999E-2</v>
      </c>
      <c r="D15" s="1">
        <v>1.5699999999999999E-2</v>
      </c>
      <c r="E15" s="1">
        <v>4.6800000000000001E-2</v>
      </c>
      <c r="F15" s="1">
        <f t="shared" si="0"/>
        <v>2.8733333333333333E-2</v>
      </c>
      <c r="J15" t="s">
        <v>8</v>
      </c>
      <c r="K15" s="1">
        <v>3.6366666666666665E-2</v>
      </c>
      <c r="N15" s="2" t="s">
        <v>4</v>
      </c>
      <c r="O15" s="15">
        <v>3.7900000000000003E-2</v>
      </c>
      <c r="P15" s="7">
        <f t="shared" si="1"/>
        <v>0.85910000000000009</v>
      </c>
      <c r="R15" s="2" t="s">
        <v>20</v>
      </c>
      <c r="S15" s="15">
        <v>3.9100000000000003E-2</v>
      </c>
      <c r="T15" s="11">
        <f t="shared" si="2"/>
        <v>0.91580000000000006</v>
      </c>
      <c r="V15" t="s">
        <v>8</v>
      </c>
      <c r="W15" s="15">
        <v>4.3200000000000002E-2</v>
      </c>
      <c r="X15" s="11">
        <f t="shared" si="3"/>
        <v>0.78829999999999989</v>
      </c>
    </row>
    <row r="16" spans="2:24" x14ac:dyDescent="0.2">
      <c r="B16" t="s">
        <v>14</v>
      </c>
      <c r="C16" s="1">
        <v>2.9399999999999999E-2</v>
      </c>
      <c r="D16" s="1">
        <v>9.7999999999999997E-3</v>
      </c>
      <c r="E16" s="1">
        <v>4.2599999999999999E-2</v>
      </c>
      <c r="F16" s="1">
        <f t="shared" si="0"/>
        <v>2.7266666666666665E-2</v>
      </c>
      <c r="J16" t="s">
        <v>15</v>
      </c>
      <c r="K16" s="1">
        <v>3.0733333333333335E-2</v>
      </c>
      <c r="N16" t="s">
        <v>15</v>
      </c>
      <c r="O16" s="15">
        <v>3.0800000000000001E-2</v>
      </c>
      <c r="P16" s="7">
        <f t="shared" si="1"/>
        <v>0.88990000000000014</v>
      </c>
      <c r="R16" t="s">
        <v>8</v>
      </c>
      <c r="S16" s="15">
        <v>1.7600000000000001E-2</v>
      </c>
      <c r="T16" s="11">
        <f t="shared" si="2"/>
        <v>0.93340000000000001</v>
      </c>
      <c r="V16" t="s">
        <v>10</v>
      </c>
      <c r="W16" s="15">
        <v>4.2599999999999999E-2</v>
      </c>
      <c r="X16" s="11">
        <f t="shared" si="3"/>
        <v>0.83089999999999986</v>
      </c>
    </row>
    <row r="17" spans="2:24" x14ac:dyDescent="0.2">
      <c r="B17" t="s">
        <v>15</v>
      </c>
      <c r="C17" s="1">
        <v>3.0800000000000001E-2</v>
      </c>
      <c r="D17" s="1">
        <v>1.7600000000000001E-2</v>
      </c>
      <c r="E17" s="1">
        <v>4.3799999999999999E-2</v>
      </c>
      <c r="F17" s="1">
        <f t="shared" si="0"/>
        <v>3.0733333333333335E-2</v>
      </c>
      <c r="J17" t="s">
        <v>9</v>
      </c>
      <c r="K17" s="1">
        <v>3.0499999999999999E-2</v>
      </c>
      <c r="N17" t="s">
        <v>14</v>
      </c>
      <c r="O17" s="15">
        <v>2.9399999999999999E-2</v>
      </c>
      <c r="P17" s="7">
        <f t="shared" si="1"/>
        <v>0.91930000000000012</v>
      </c>
      <c r="R17" t="s">
        <v>15</v>
      </c>
      <c r="S17" s="15">
        <v>1.7600000000000001E-2</v>
      </c>
      <c r="T17" s="11">
        <f t="shared" si="2"/>
        <v>0.95099999999999996</v>
      </c>
      <c r="V17" t="s">
        <v>14</v>
      </c>
      <c r="W17" s="15">
        <v>4.2599999999999999E-2</v>
      </c>
      <c r="X17" s="11">
        <f t="shared" si="3"/>
        <v>0.87349999999999983</v>
      </c>
    </row>
    <row r="18" spans="2:24" x14ac:dyDescent="0.2">
      <c r="B18" t="s">
        <v>16</v>
      </c>
      <c r="C18" s="1">
        <v>6.54E-2</v>
      </c>
      <c r="D18" s="1">
        <v>7.2400000000000006E-2</v>
      </c>
      <c r="E18" s="1">
        <v>4.6199999999999998E-2</v>
      </c>
      <c r="F18" s="1">
        <f t="shared" si="0"/>
        <v>6.133333333333333E-2</v>
      </c>
      <c r="J18" t="s">
        <v>13</v>
      </c>
      <c r="K18" s="1">
        <v>2.8733333333333333E-2</v>
      </c>
      <c r="N18" t="s">
        <v>19</v>
      </c>
      <c r="O18" s="15">
        <v>2.4E-2</v>
      </c>
      <c r="P18" s="7">
        <f t="shared" si="1"/>
        <v>0.94330000000000014</v>
      </c>
      <c r="R18" t="s">
        <v>19</v>
      </c>
      <c r="S18" s="15">
        <v>1.7600000000000001E-2</v>
      </c>
      <c r="T18" s="11">
        <f t="shared" si="2"/>
        <v>0.96859999999999991</v>
      </c>
      <c r="V18" t="s">
        <v>9</v>
      </c>
      <c r="W18" s="15">
        <v>3.6499999999999998E-2</v>
      </c>
      <c r="X18" s="11">
        <f t="shared" si="3"/>
        <v>0.90999999999999981</v>
      </c>
    </row>
    <row r="19" spans="2:24" x14ac:dyDescent="0.2">
      <c r="B19" t="s">
        <v>17</v>
      </c>
      <c r="C19" s="1">
        <v>4.9700000000000001E-2</v>
      </c>
      <c r="D19" s="1">
        <v>3.9100000000000003E-2</v>
      </c>
      <c r="E19" s="1">
        <v>4.4400000000000002E-2</v>
      </c>
      <c r="F19" s="1">
        <f t="shared" si="0"/>
        <v>4.4400000000000002E-2</v>
      </c>
      <c r="J19" t="s">
        <v>14</v>
      </c>
      <c r="K19" s="1">
        <v>2.7266666666666665E-2</v>
      </c>
      <c r="N19" t="s">
        <v>13</v>
      </c>
      <c r="O19" s="15">
        <v>2.3699999999999999E-2</v>
      </c>
      <c r="P19" s="7">
        <f t="shared" si="1"/>
        <v>0.96700000000000008</v>
      </c>
      <c r="R19" t="s">
        <v>13</v>
      </c>
      <c r="S19" s="15">
        <v>1.5699999999999999E-2</v>
      </c>
      <c r="T19" s="11">
        <f t="shared" si="2"/>
        <v>0.98429999999999995</v>
      </c>
      <c r="V19" t="s">
        <v>2</v>
      </c>
      <c r="W19" s="15">
        <v>2.98E-2</v>
      </c>
      <c r="X19" s="11">
        <f t="shared" si="3"/>
        <v>0.93979999999999986</v>
      </c>
    </row>
    <row r="20" spans="2:24" x14ac:dyDescent="0.2">
      <c r="B20" t="s">
        <v>18</v>
      </c>
      <c r="C20" s="1">
        <v>1.4E-2</v>
      </c>
      <c r="D20" s="1">
        <v>2E-3</v>
      </c>
      <c r="E20" s="1">
        <v>9.1000000000000004E-3</v>
      </c>
      <c r="F20" s="1">
        <f t="shared" si="0"/>
        <v>8.3666666666666663E-3</v>
      </c>
      <c r="J20" t="s">
        <v>19</v>
      </c>
      <c r="K20" s="1">
        <v>2.1766666666666667E-2</v>
      </c>
      <c r="N20" t="s">
        <v>18</v>
      </c>
      <c r="O20" s="15">
        <v>1.4E-2</v>
      </c>
      <c r="P20" s="7">
        <f t="shared" si="1"/>
        <v>0.98100000000000009</v>
      </c>
      <c r="R20" t="s">
        <v>14</v>
      </c>
      <c r="S20" s="15">
        <v>9.7999999999999997E-3</v>
      </c>
      <c r="T20" s="11">
        <f t="shared" si="2"/>
        <v>0.99409999999999998</v>
      </c>
      <c r="V20" t="s">
        <v>6</v>
      </c>
      <c r="W20" s="15">
        <v>2.7400000000000001E-2</v>
      </c>
      <c r="X20" s="11">
        <f t="shared" si="3"/>
        <v>0.96719999999999984</v>
      </c>
    </row>
    <row r="21" spans="2:24" x14ac:dyDescent="0.2">
      <c r="B21" t="s">
        <v>19</v>
      </c>
      <c r="C21" s="1">
        <v>2.4E-2</v>
      </c>
      <c r="D21" s="1">
        <v>1.7600000000000001E-2</v>
      </c>
      <c r="E21" s="1">
        <v>2.3699999999999999E-2</v>
      </c>
      <c r="F21" s="1">
        <f t="shared" si="0"/>
        <v>2.1766666666666667E-2</v>
      </c>
      <c r="J21" t="s">
        <v>5</v>
      </c>
      <c r="K21" s="1">
        <v>1.9133333333333332E-2</v>
      </c>
      <c r="N21" t="s">
        <v>9</v>
      </c>
      <c r="O21" s="15">
        <v>1.1900000000000001E-2</v>
      </c>
      <c r="P21" s="7">
        <f t="shared" si="1"/>
        <v>0.99290000000000012</v>
      </c>
      <c r="R21" t="s">
        <v>5</v>
      </c>
      <c r="S21" s="15">
        <v>3.8999999999999998E-3</v>
      </c>
      <c r="T21" s="11">
        <f t="shared" si="2"/>
        <v>0.998</v>
      </c>
      <c r="V21" t="s">
        <v>19</v>
      </c>
      <c r="W21" s="15">
        <v>2.3699999999999999E-2</v>
      </c>
      <c r="X21" s="11">
        <f t="shared" si="3"/>
        <v>0.99089999999999989</v>
      </c>
    </row>
    <row r="22" spans="2:24" x14ac:dyDescent="0.2">
      <c r="B22" t="s">
        <v>20</v>
      </c>
      <c r="C22" s="1">
        <v>5.7200000000000001E-2</v>
      </c>
      <c r="D22" s="1">
        <v>3.9100000000000003E-2</v>
      </c>
      <c r="E22" s="1">
        <v>6.2700000000000006E-2</v>
      </c>
      <c r="F22" s="1">
        <f t="shared" si="0"/>
        <v>5.2999999999999999E-2</v>
      </c>
      <c r="J22" t="s">
        <v>18</v>
      </c>
      <c r="K22" s="1">
        <v>8.3666666666666663E-3</v>
      </c>
      <c r="N22" t="s">
        <v>5</v>
      </c>
      <c r="O22" s="15">
        <v>7.3000000000000001E-3</v>
      </c>
      <c r="P22" s="7">
        <f t="shared" si="1"/>
        <v>1.0002000000000002</v>
      </c>
      <c r="R22" t="s">
        <v>18</v>
      </c>
      <c r="S22" s="15">
        <v>2E-3</v>
      </c>
      <c r="T22" s="11">
        <f t="shared" si="2"/>
        <v>1</v>
      </c>
      <c r="V22" t="s">
        <v>18</v>
      </c>
      <c r="W22" s="15">
        <v>9.1000000000000004E-3</v>
      </c>
      <c r="X22" s="11">
        <f t="shared" si="3"/>
        <v>0.99999999999999989</v>
      </c>
    </row>
    <row r="25" spans="2:24" x14ac:dyDescent="0.2">
      <c r="B25" t="s">
        <v>25</v>
      </c>
      <c r="C25" s="5">
        <f>SUM(C13,C9,C3)</f>
        <v>0.29679999999999995</v>
      </c>
      <c r="D25" s="5">
        <f>SUM(D14,D13,D4)</f>
        <v>0.34450000000000003</v>
      </c>
      <c r="E25" s="5">
        <f>SUM(E14,E9,E6)</f>
        <v>0.2616</v>
      </c>
    </row>
  </sheetData>
  <sortState xmlns:xlrd2="http://schemas.microsoft.com/office/spreadsheetml/2017/richdata2" ref="V3:W22">
    <sortCondition descending="1" ref="W3:W22"/>
  </sortState>
  <conditionalFormatting sqref="C3:E22 O3:O22 S3:T3 W3:W22 S4:S22">
    <cfRule type="cellIs" dxfId="2" priority="4" stopIfTrue="1" operator="greaterThanOrEqual">
      <formula>0.1</formula>
    </cfRule>
    <cfRule type="cellIs" dxfId="1" priority="5" stopIfTrue="1" operator="greaterThanOrEqual">
      <formula>0.09</formula>
    </cfRule>
    <cfRule type="cellIs" dxfId="0" priority="6" operator="greaterThan">
      <formula>0.08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C0CE2-D618-AE48-A40D-8B6EE215B852}">
  <dimension ref="B2:AJ22"/>
  <sheetViews>
    <sheetView topLeftCell="L1" workbookViewId="0">
      <selection activeCell="AJ6" sqref="AJ6"/>
    </sheetView>
  </sheetViews>
  <sheetFormatPr baseColWidth="10" defaultRowHeight="16" x14ac:dyDescent="0.2"/>
  <sheetData>
    <row r="2" spans="2:36" x14ac:dyDescent="0.2">
      <c r="D2" t="s">
        <v>26</v>
      </c>
      <c r="G2" t="s">
        <v>26</v>
      </c>
      <c r="N2" t="s">
        <v>27</v>
      </c>
      <c r="Q2" t="s">
        <v>27</v>
      </c>
      <c r="W2" t="s">
        <v>28</v>
      </c>
      <c r="Z2" t="s">
        <v>28</v>
      </c>
      <c r="AF2" t="s">
        <v>29</v>
      </c>
      <c r="AI2" t="s">
        <v>29</v>
      </c>
    </row>
    <row r="3" spans="2:36" x14ac:dyDescent="0.2">
      <c r="B3" t="s">
        <v>0</v>
      </c>
      <c r="C3" t="s">
        <v>1</v>
      </c>
      <c r="D3" s="15">
        <v>8.5999999999999993E-2</v>
      </c>
      <c r="F3" t="s">
        <v>11</v>
      </c>
      <c r="G3" s="15">
        <v>9.8299999999999998E-2</v>
      </c>
      <c r="L3" t="s">
        <v>0</v>
      </c>
      <c r="M3" t="s">
        <v>1</v>
      </c>
      <c r="N3" s="15">
        <v>6.1800000000000001E-2</v>
      </c>
      <c r="P3" t="s">
        <v>7</v>
      </c>
      <c r="Q3" s="15">
        <v>8.77E-2</v>
      </c>
      <c r="U3" t="s">
        <v>0</v>
      </c>
      <c r="V3" t="s">
        <v>1</v>
      </c>
      <c r="W3">
        <v>7.1400000000000005E-2</v>
      </c>
      <c r="Y3" t="s">
        <v>11</v>
      </c>
      <c r="Z3" s="15">
        <v>9.2299999999999993E-2</v>
      </c>
      <c r="AD3" t="s">
        <v>0</v>
      </c>
      <c r="AE3" t="s">
        <v>1</v>
      </c>
      <c r="AF3">
        <v>5.8000000000000003E-2</v>
      </c>
      <c r="AH3" t="s">
        <v>7</v>
      </c>
      <c r="AI3" s="15">
        <v>8.7400000000000005E-2</v>
      </c>
    </row>
    <row r="4" spans="2:36" x14ac:dyDescent="0.2">
      <c r="B4" t="s">
        <v>2</v>
      </c>
      <c r="C4" t="s">
        <v>1</v>
      </c>
      <c r="D4" s="15">
        <v>5.0500000000000003E-2</v>
      </c>
      <c r="F4" t="s">
        <v>0</v>
      </c>
      <c r="G4" s="15">
        <v>8.5999999999999993E-2</v>
      </c>
      <c r="H4" s="11">
        <f>G4+G3</f>
        <v>0.18429999999999999</v>
      </c>
      <c r="L4" t="s">
        <v>2</v>
      </c>
      <c r="M4" t="s">
        <v>1</v>
      </c>
      <c r="N4" s="15">
        <v>4.9299999999999997E-2</v>
      </c>
      <c r="P4" t="s">
        <v>11</v>
      </c>
      <c r="Q4" s="15">
        <v>8.5699999999999998E-2</v>
      </c>
      <c r="R4" s="11">
        <f>Q4+Q3</f>
        <v>0.1734</v>
      </c>
      <c r="U4" t="s">
        <v>2</v>
      </c>
      <c r="V4" t="s">
        <v>1</v>
      </c>
      <c r="W4">
        <v>4.7E-2</v>
      </c>
      <c r="Y4" t="s">
        <v>7</v>
      </c>
      <c r="Z4" s="15">
        <v>9.06E-2</v>
      </c>
      <c r="AA4" s="11">
        <f>Z4+Z3</f>
        <v>0.18290000000000001</v>
      </c>
      <c r="AD4" t="s">
        <v>2</v>
      </c>
      <c r="AE4" t="s">
        <v>1</v>
      </c>
      <c r="AF4">
        <v>7.6799999999999993E-2</v>
      </c>
      <c r="AH4" t="s">
        <v>11</v>
      </c>
      <c r="AI4" s="15">
        <v>8.2900000000000001E-2</v>
      </c>
      <c r="AJ4" s="11">
        <f>AI4+AI3</f>
        <v>0.17030000000000001</v>
      </c>
    </row>
    <row r="5" spans="2:36" x14ac:dyDescent="0.2">
      <c r="B5" t="s">
        <v>3</v>
      </c>
      <c r="C5" t="s">
        <v>1</v>
      </c>
      <c r="D5" s="15">
        <v>4.1200000000000001E-2</v>
      </c>
      <c r="F5" t="s">
        <v>8</v>
      </c>
      <c r="G5" s="15">
        <v>8.0399999999999999E-2</v>
      </c>
      <c r="H5" s="12">
        <f>G5+H4</f>
        <v>0.26469999999999999</v>
      </c>
      <c r="L5" t="s">
        <v>3</v>
      </c>
      <c r="M5" t="s">
        <v>1</v>
      </c>
      <c r="N5" s="15">
        <v>4.5199999999999997E-2</v>
      </c>
      <c r="P5" t="s">
        <v>20</v>
      </c>
      <c r="Q5" s="15">
        <v>8.1500000000000003E-2</v>
      </c>
      <c r="R5" s="12">
        <f>Q5+R4</f>
        <v>0.25490000000000002</v>
      </c>
      <c r="U5" t="s">
        <v>3</v>
      </c>
      <c r="V5" t="s">
        <v>1</v>
      </c>
      <c r="W5">
        <v>4.53E-2</v>
      </c>
      <c r="Y5" t="s">
        <v>12</v>
      </c>
      <c r="Z5" s="15">
        <v>8.6199999999999999E-2</v>
      </c>
      <c r="AA5" s="12">
        <f>Z5+AA4</f>
        <v>0.26910000000000001</v>
      </c>
      <c r="AD5" t="s">
        <v>3</v>
      </c>
      <c r="AE5" t="s">
        <v>1</v>
      </c>
      <c r="AF5">
        <v>3.3700000000000001E-2</v>
      </c>
      <c r="AH5" t="s">
        <v>12</v>
      </c>
      <c r="AI5" s="15">
        <v>8.1299999999999997E-2</v>
      </c>
      <c r="AJ5" s="12">
        <f>AI5+AJ4</f>
        <v>0.25159999999999999</v>
      </c>
    </row>
    <row r="6" spans="2:36" x14ac:dyDescent="0.2">
      <c r="B6" t="s">
        <v>4</v>
      </c>
      <c r="C6" t="s">
        <v>1</v>
      </c>
      <c r="D6" s="15">
        <v>5.5800000000000002E-2</v>
      </c>
      <c r="F6" t="s">
        <v>20</v>
      </c>
      <c r="G6" s="15">
        <v>7.7200000000000005E-2</v>
      </c>
      <c r="H6" s="13">
        <f t="shared" ref="H6:H22" si="0">G6+H5</f>
        <v>0.34189999999999998</v>
      </c>
      <c r="L6" t="s">
        <v>4</v>
      </c>
      <c r="M6" t="s">
        <v>1</v>
      </c>
      <c r="N6" s="15">
        <v>6.1600000000000002E-2</v>
      </c>
      <c r="P6" t="s">
        <v>8</v>
      </c>
      <c r="Q6" s="15">
        <v>7.7299999999999994E-2</v>
      </c>
      <c r="R6" s="13">
        <f t="shared" ref="R6:R22" si="1">Q6+R5</f>
        <v>0.3322</v>
      </c>
      <c r="U6" t="s">
        <v>4</v>
      </c>
      <c r="V6" t="s">
        <v>1</v>
      </c>
      <c r="W6">
        <v>5.1400000000000001E-2</v>
      </c>
      <c r="Y6" t="s">
        <v>20</v>
      </c>
      <c r="Z6" s="15">
        <v>8.6199999999999999E-2</v>
      </c>
      <c r="AA6" s="13">
        <f t="shared" ref="AA6:AA22" si="2">Z6+AA5</f>
        <v>0.3553</v>
      </c>
      <c r="AD6" t="s">
        <v>4</v>
      </c>
      <c r="AE6" t="s">
        <v>1</v>
      </c>
      <c r="AF6">
        <v>5.1900000000000002E-2</v>
      </c>
      <c r="AH6" t="s">
        <v>20</v>
      </c>
      <c r="AI6" s="15">
        <v>7.9600000000000004E-2</v>
      </c>
      <c r="AJ6" s="13">
        <f t="shared" ref="AJ6:AJ22" si="3">AI6+AJ5</f>
        <v>0.33119999999999999</v>
      </c>
    </row>
    <row r="7" spans="2:36" x14ac:dyDescent="0.2">
      <c r="B7" t="s">
        <v>5</v>
      </c>
      <c r="C7" t="s">
        <v>1</v>
      </c>
      <c r="D7" s="15">
        <v>1.0999999999999999E-2</v>
      </c>
      <c r="F7" t="s">
        <v>10</v>
      </c>
      <c r="G7" s="15">
        <v>7.0999999999999994E-2</v>
      </c>
      <c r="H7" s="14">
        <f t="shared" si="0"/>
        <v>0.41289999999999999</v>
      </c>
      <c r="L7" t="s">
        <v>5</v>
      </c>
      <c r="M7" t="s">
        <v>1</v>
      </c>
      <c r="N7" s="15">
        <v>4.0000000000000001E-3</v>
      </c>
      <c r="P7" t="s">
        <v>10</v>
      </c>
      <c r="Q7" s="15">
        <v>7.3400000000000007E-2</v>
      </c>
      <c r="R7" s="14">
        <f t="shared" si="1"/>
        <v>0.40560000000000002</v>
      </c>
      <c r="U7" t="s">
        <v>5</v>
      </c>
      <c r="V7" t="s">
        <v>1</v>
      </c>
      <c r="W7">
        <v>1.1299999999999999E-2</v>
      </c>
      <c r="Y7" t="s">
        <v>0</v>
      </c>
      <c r="Z7" s="15">
        <v>7.1400000000000005E-2</v>
      </c>
      <c r="AA7" s="14">
        <f t="shared" si="2"/>
        <v>0.42670000000000002</v>
      </c>
      <c r="AD7" t="s">
        <v>5</v>
      </c>
      <c r="AE7" t="s">
        <v>1</v>
      </c>
      <c r="AF7">
        <v>1.04E-2</v>
      </c>
      <c r="AH7" t="s">
        <v>2</v>
      </c>
      <c r="AI7" s="15">
        <v>7.6799999999999993E-2</v>
      </c>
      <c r="AJ7" s="14">
        <f t="shared" si="3"/>
        <v>0.40799999999999997</v>
      </c>
    </row>
    <row r="8" spans="2:36" x14ac:dyDescent="0.2">
      <c r="B8" t="s">
        <v>6</v>
      </c>
      <c r="C8" t="s">
        <v>1</v>
      </c>
      <c r="D8" s="15">
        <v>3.15E-2</v>
      </c>
      <c r="F8" t="s">
        <v>7</v>
      </c>
      <c r="G8" s="15">
        <v>6.7000000000000004E-2</v>
      </c>
      <c r="H8" s="11">
        <f t="shared" si="0"/>
        <v>0.47989999999999999</v>
      </c>
      <c r="L8" t="s">
        <v>6</v>
      </c>
      <c r="M8" t="s">
        <v>1</v>
      </c>
      <c r="N8" s="15">
        <v>3.1800000000000002E-2</v>
      </c>
      <c r="P8" t="s">
        <v>17</v>
      </c>
      <c r="Q8" s="15">
        <v>6.7599999999999993E-2</v>
      </c>
      <c r="R8" s="11">
        <f t="shared" si="1"/>
        <v>0.47320000000000001</v>
      </c>
      <c r="U8" t="s">
        <v>6</v>
      </c>
      <c r="V8" t="s">
        <v>1</v>
      </c>
      <c r="W8">
        <v>3.4799999999999998E-2</v>
      </c>
      <c r="Y8" t="s">
        <v>10</v>
      </c>
      <c r="Z8" s="15">
        <v>6.6199999999999995E-2</v>
      </c>
      <c r="AA8" s="11">
        <f t="shared" si="2"/>
        <v>0.4929</v>
      </c>
      <c r="AD8" t="s">
        <v>6</v>
      </c>
      <c r="AE8" t="s">
        <v>1</v>
      </c>
      <c r="AF8">
        <v>2.6499999999999999E-2</v>
      </c>
      <c r="AH8" t="s">
        <v>8</v>
      </c>
      <c r="AI8" s="15">
        <v>7.5200000000000003E-2</v>
      </c>
      <c r="AJ8" s="11">
        <f t="shared" si="3"/>
        <v>0.48319999999999996</v>
      </c>
    </row>
    <row r="9" spans="2:36" x14ac:dyDescent="0.2">
      <c r="B9" t="s">
        <v>7</v>
      </c>
      <c r="C9" t="s">
        <v>1</v>
      </c>
      <c r="D9" s="15">
        <v>6.7000000000000004E-2</v>
      </c>
      <c r="F9" t="s">
        <v>12</v>
      </c>
      <c r="G9" s="15">
        <v>5.9299999999999999E-2</v>
      </c>
      <c r="H9" s="11">
        <f t="shared" si="0"/>
        <v>0.53920000000000001</v>
      </c>
      <c r="L9" t="s">
        <v>7</v>
      </c>
      <c r="M9" t="s">
        <v>1</v>
      </c>
      <c r="N9" s="15">
        <v>8.77E-2</v>
      </c>
      <c r="P9" t="s">
        <v>16</v>
      </c>
      <c r="Q9" s="15">
        <v>6.4199999999999993E-2</v>
      </c>
      <c r="R9" s="11">
        <f t="shared" si="1"/>
        <v>0.53739999999999999</v>
      </c>
      <c r="U9" t="s">
        <v>7</v>
      </c>
      <c r="V9" t="s">
        <v>1</v>
      </c>
      <c r="W9">
        <v>9.06E-2</v>
      </c>
      <c r="Y9" t="s">
        <v>8</v>
      </c>
      <c r="Z9" s="15">
        <v>6.4500000000000002E-2</v>
      </c>
      <c r="AA9" s="11">
        <f t="shared" si="2"/>
        <v>0.55740000000000001</v>
      </c>
      <c r="AD9" t="s">
        <v>7</v>
      </c>
      <c r="AE9" t="s">
        <v>1</v>
      </c>
      <c r="AF9">
        <v>8.7400000000000005E-2</v>
      </c>
      <c r="AH9" t="s">
        <v>10</v>
      </c>
      <c r="AI9" s="15">
        <v>5.8599999999999999E-2</v>
      </c>
      <c r="AJ9" s="11">
        <f t="shared" si="3"/>
        <v>0.54179999999999995</v>
      </c>
    </row>
    <row r="10" spans="2:36" x14ac:dyDescent="0.2">
      <c r="B10" t="s">
        <v>8</v>
      </c>
      <c r="C10" t="s">
        <v>1</v>
      </c>
      <c r="D10" s="15">
        <v>8.0399999999999999E-2</v>
      </c>
      <c r="F10" t="s">
        <v>17</v>
      </c>
      <c r="G10" s="15">
        <v>5.6300000000000003E-2</v>
      </c>
      <c r="H10" s="11">
        <f t="shared" si="0"/>
        <v>0.59550000000000003</v>
      </c>
      <c r="L10" t="s">
        <v>8</v>
      </c>
      <c r="M10" t="s">
        <v>1</v>
      </c>
      <c r="N10" s="15">
        <v>7.7299999999999994E-2</v>
      </c>
      <c r="P10" t="s">
        <v>0</v>
      </c>
      <c r="Q10" s="15">
        <v>6.1800000000000001E-2</v>
      </c>
      <c r="R10" s="11">
        <f t="shared" si="1"/>
        <v>0.59919999999999995</v>
      </c>
      <c r="U10" t="s">
        <v>8</v>
      </c>
      <c r="V10" t="s">
        <v>1</v>
      </c>
      <c r="W10">
        <v>6.4500000000000002E-2</v>
      </c>
      <c r="Y10" t="s">
        <v>16</v>
      </c>
      <c r="Z10" s="15">
        <v>5.3999999999999999E-2</v>
      </c>
      <c r="AA10" s="11">
        <f t="shared" si="2"/>
        <v>0.61140000000000005</v>
      </c>
      <c r="AD10" t="s">
        <v>8</v>
      </c>
      <c r="AE10" t="s">
        <v>1</v>
      </c>
      <c r="AF10">
        <v>7.5200000000000003E-2</v>
      </c>
      <c r="AH10" t="s">
        <v>0</v>
      </c>
      <c r="AI10" s="15">
        <v>5.8000000000000003E-2</v>
      </c>
      <c r="AJ10" s="11">
        <f t="shared" si="3"/>
        <v>0.5998</v>
      </c>
    </row>
    <row r="11" spans="2:36" x14ac:dyDescent="0.2">
      <c r="B11" t="s">
        <v>9</v>
      </c>
      <c r="C11" t="s">
        <v>1</v>
      </c>
      <c r="D11" s="15">
        <v>2.35E-2</v>
      </c>
      <c r="F11" t="s">
        <v>4</v>
      </c>
      <c r="G11" s="15">
        <v>5.5800000000000002E-2</v>
      </c>
      <c r="H11" s="11">
        <f t="shared" si="0"/>
        <v>0.65129999999999999</v>
      </c>
      <c r="L11" t="s">
        <v>9</v>
      </c>
      <c r="M11" t="s">
        <v>1</v>
      </c>
      <c r="N11" s="15">
        <v>2.47E-2</v>
      </c>
      <c r="P11" t="s">
        <v>4</v>
      </c>
      <c r="Q11" s="15">
        <v>6.1600000000000002E-2</v>
      </c>
      <c r="R11" s="11">
        <f t="shared" si="1"/>
        <v>0.66079999999999994</v>
      </c>
      <c r="U11" t="s">
        <v>9</v>
      </c>
      <c r="V11" t="s">
        <v>1</v>
      </c>
      <c r="W11">
        <v>1.66E-2</v>
      </c>
      <c r="Y11" t="s">
        <v>4</v>
      </c>
      <c r="Z11" s="15">
        <v>5.1400000000000001E-2</v>
      </c>
      <c r="AA11" s="11">
        <f t="shared" si="2"/>
        <v>0.66280000000000006</v>
      </c>
      <c r="AD11" t="s">
        <v>9</v>
      </c>
      <c r="AE11" t="s">
        <v>1</v>
      </c>
      <c r="AF11">
        <v>1.8200000000000001E-2</v>
      </c>
      <c r="AH11" t="s">
        <v>15</v>
      </c>
      <c r="AI11" s="15">
        <v>5.4699999999999999E-2</v>
      </c>
      <c r="AJ11" s="11">
        <f t="shared" si="3"/>
        <v>0.65449999999999997</v>
      </c>
    </row>
    <row r="12" spans="2:36" x14ac:dyDescent="0.2">
      <c r="B12" t="s">
        <v>10</v>
      </c>
      <c r="C12" t="s">
        <v>1</v>
      </c>
      <c r="D12" s="15">
        <v>7.0999999999999994E-2</v>
      </c>
      <c r="F12" t="s">
        <v>2</v>
      </c>
      <c r="G12" s="15">
        <v>5.0500000000000003E-2</v>
      </c>
      <c r="H12" s="11">
        <f t="shared" si="0"/>
        <v>0.70179999999999998</v>
      </c>
      <c r="L12" t="s">
        <v>10</v>
      </c>
      <c r="M12" t="s">
        <v>1</v>
      </c>
      <c r="N12" s="15">
        <v>7.3400000000000007E-2</v>
      </c>
      <c r="P12" t="s">
        <v>12</v>
      </c>
      <c r="Q12" s="15">
        <v>6.0499999999999998E-2</v>
      </c>
      <c r="R12" s="11">
        <f t="shared" si="1"/>
        <v>0.72129999999999994</v>
      </c>
      <c r="U12" t="s">
        <v>10</v>
      </c>
      <c r="V12" t="s">
        <v>1</v>
      </c>
      <c r="W12">
        <v>6.6199999999999995E-2</v>
      </c>
      <c r="Y12" t="s">
        <v>2</v>
      </c>
      <c r="Z12" s="15">
        <v>4.7E-2</v>
      </c>
      <c r="AA12" s="11">
        <f t="shared" si="2"/>
        <v>0.7098000000000001</v>
      </c>
      <c r="AD12" t="s">
        <v>10</v>
      </c>
      <c r="AE12" t="s">
        <v>1</v>
      </c>
      <c r="AF12">
        <v>5.8599999999999999E-2</v>
      </c>
      <c r="AH12" t="s">
        <v>4</v>
      </c>
      <c r="AI12" s="15">
        <v>5.1900000000000002E-2</v>
      </c>
      <c r="AJ12" s="11">
        <f t="shared" si="3"/>
        <v>0.70639999999999992</v>
      </c>
    </row>
    <row r="13" spans="2:36" x14ac:dyDescent="0.2">
      <c r="B13" t="s">
        <v>11</v>
      </c>
      <c r="C13" t="s">
        <v>1</v>
      </c>
      <c r="D13" s="15">
        <v>9.8299999999999998E-2</v>
      </c>
      <c r="F13" t="s">
        <v>16</v>
      </c>
      <c r="G13" s="15">
        <v>4.9099999999999998E-2</v>
      </c>
      <c r="H13" s="11">
        <f t="shared" si="0"/>
        <v>0.75090000000000001</v>
      </c>
      <c r="L13" t="s">
        <v>11</v>
      </c>
      <c r="M13" t="s">
        <v>1</v>
      </c>
      <c r="N13" s="15">
        <v>8.5699999999999998E-2</v>
      </c>
      <c r="P13" t="s">
        <v>2</v>
      </c>
      <c r="Q13" s="15">
        <v>4.9299999999999997E-2</v>
      </c>
      <c r="R13" s="11">
        <f t="shared" si="1"/>
        <v>0.77059999999999995</v>
      </c>
      <c r="U13" t="s">
        <v>11</v>
      </c>
      <c r="V13" t="s">
        <v>1</v>
      </c>
      <c r="W13">
        <v>9.2299999999999993E-2</v>
      </c>
      <c r="Y13" t="s">
        <v>3</v>
      </c>
      <c r="Z13" s="15">
        <v>4.53E-2</v>
      </c>
      <c r="AA13" s="11">
        <f t="shared" si="2"/>
        <v>0.7551000000000001</v>
      </c>
      <c r="AD13" t="s">
        <v>11</v>
      </c>
      <c r="AE13" t="s">
        <v>1</v>
      </c>
      <c r="AF13">
        <v>8.2900000000000001E-2</v>
      </c>
      <c r="AH13" t="s">
        <v>16</v>
      </c>
      <c r="AI13" s="15">
        <v>4.4200000000000003E-2</v>
      </c>
      <c r="AJ13" s="11">
        <f t="shared" si="3"/>
        <v>0.75059999999999993</v>
      </c>
    </row>
    <row r="14" spans="2:36" x14ac:dyDescent="0.2">
      <c r="B14" t="s">
        <v>12</v>
      </c>
      <c r="C14" t="s">
        <v>1</v>
      </c>
      <c r="D14" s="15">
        <v>5.9299999999999999E-2</v>
      </c>
      <c r="F14" t="s">
        <v>3</v>
      </c>
      <c r="G14" s="15">
        <v>4.1200000000000001E-2</v>
      </c>
      <c r="H14" s="11">
        <f t="shared" si="0"/>
        <v>0.79210000000000003</v>
      </c>
      <c r="L14" t="s">
        <v>12</v>
      </c>
      <c r="M14" t="s">
        <v>1</v>
      </c>
      <c r="N14" s="15">
        <v>6.0499999999999998E-2</v>
      </c>
      <c r="P14" t="s">
        <v>3</v>
      </c>
      <c r="Q14" s="15">
        <v>4.5199999999999997E-2</v>
      </c>
      <c r="R14" s="11">
        <f t="shared" si="1"/>
        <v>0.81579999999999997</v>
      </c>
      <c r="U14" t="s">
        <v>12</v>
      </c>
      <c r="V14" t="s">
        <v>1</v>
      </c>
      <c r="W14">
        <v>8.6199999999999999E-2</v>
      </c>
      <c r="Y14" t="s">
        <v>14</v>
      </c>
      <c r="Z14" s="15">
        <v>4.0899999999999999E-2</v>
      </c>
      <c r="AA14" s="11">
        <f t="shared" si="2"/>
        <v>0.79600000000000015</v>
      </c>
      <c r="AD14" t="s">
        <v>12</v>
      </c>
      <c r="AE14" t="s">
        <v>1</v>
      </c>
      <c r="AF14">
        <v>8.1299999999999997E-2</v>
      </c>
      <c r="AH14" t="s">
        <v>19</v>
      </c>
      <c r="AI14" s="15">
        <v>4.0899999999999999E-2</v>
      </c>
      <c r="AJ14" s="11">
        <f t="shared" si="3"/>
        <v>0.79149999999999998</v>
      </c>
    </row>
    <row r="15" spans="2:36" x14ac:dyDescent="0.2">
      <c r="B15" t="s">
        <v>13</v>
      </c>
      <c r="C15" t="s">
        <v>1</v>
      </c>
      <c r="D15" s="15">
        <v>2.4500000000000001E-2</v>
      </c>
      <c r="F15" t="s">
        <v>15</v>
      </c>
      <c r="G15" s="15">
        <v>4.1000000000000002E-2</v>
      </c>
      <c r="H15" s="11">
        <f t="shared" si="0"/>
        <v>0.83310000000000006</v>
      </c>
      <c r="L15" t="s">
        <v>13</v>
      </c>
      <c r="M15" t="s">
        <v>1</v>
      </c>
      <c r="N15" s="15">
        <v>1.95E-2</v>
      </c>
      <c r="P15" t="s">
        <v>14</v>
      </c>
      <c r="Q15" s="15">
        <v>3.9800000000000002E-2</v>
      </c>
      <c r="R15" s="11">
        <f t="shared" si="1"/>
        <v>0.85559999999999992</v>
      </c>
      <c r="U15" t="s">
        <v>13</v>
      </c>
      <c r="V15" t="s">
        <v>1</v>
      </c>
      <c r="W15">
        <v>2.35E-2</v>
      </c>
      <c r="Y15" t="s">
        <v>17</v>
      </c>
      <c r="Z15" s="15">
        <v>3.9199999999999999E-2</v>
      </c>
      <c r="AA15" s="11">
        <f t="shared" si="2"/>
        <v>0.83520000000000016</v>
      </c>
      <c r="AD15" t="s">
        <v>13</v>
      </c>
      <c r="AE15" t="s">
        <v>1</v>
      </c>
      <c r="AF15">
        <v>2.6499999999999999E-2</v>
      </c>
      <c r="AH15" t="s">
        <v>17</v>
      </c>
      <c r="AI15" s="15">
        <v>3.9199999999999999E-2</v>
      </c>
      <c r="AJ15" s="11">
        <f t="shared" si="3"/>
        <v>0.83069999999999999</v>
      </c>
    </row>
    <row r="16" spans="2:36" x14ac:dyDescent="0.2">
      <c r="B16" t="s">
        <v>14</v>
      </c>
      <c r="C16" t="s">
        <v>1</v>
      </c>
      <c r="D16" s="15">
        <v>3.6799999999999999E-2</v>
      </c>
      <c r="F16" t="s">
        <v>14</v>
      </c>
      <c r="G16" s="15">
        <v>3.6799999999999999E-2</v>
      </c>
      <c r="H16" s="11">
        <f t="shared" si="0"/>
        <v>0.86990000000000012</v>
      </c>
      <c r="L16" t="s">
        <v>14</v>
      </c>
      <c r="M16" t="s">
        <v>1</v>
      </c>
      <c r="N16" s="15">
        <v>3.9800000000000002E-2</v>
      </c>
      <c r="P16" t="s">
        <v>6</v>
      </c>
      <c r="Q16" s="15">
        <v>3.1800000000000002E-2</v>
      </c>
      <c r="R16" s="11">
        <f t="shared" si="1"/>
        <v>0.88739999999999997</v>
      </c>
      <c r="U16" t="s">
        <v>14</v>
      </c>
      <c r="V16" t="s">
        <v>1</v>
      </c>
      <c r="W16">
        <v>4.0899999999999999E-2</v>
      </c>
      <c r="Y16" t="s">
        <v>15</v>
      </c>
      <c r="Z16" s="15">
        <v>3.6600000000000001E-2</v>
      </c>
      <c r="AA16" s="11">
        <f t="shared" si="2"/>
        <v>0.87180000000000013</v>
      </c>
      <c r="AD16" t="s">
        <v>14</v>
      </c>
      <c r="AE16" t="s">
        <v>1</v>
      </c>
      <c r="AF16">
        <v>3.4200000000000001E-2</v>
      </c>
      <c r="AH16" t="s">
        <v>14</v>
      </c>
      <c r="AI16" s="15">
        <v>3.4200000000000001E-2</v>
      </c>
      <c r="AJ16" s="11">
        <f t="shared" si="3"/>
        <v>0.8649</v>
      </c>
    </row>
    <row r="17" spans="2:36" x14ac:dyDescent="0.2">
      <c r="B17" t="s">
        <v>15</v>
      </c>
      <c r="C17" t="s">
        <v>1</v>
      </c>
      <c r="D17" s="15">
        <v>4.1000000000000002E-2</v>
      </c>
      <c r="F17" t="s">
        <v>6</v>
      </c>
      <c r="G17" s="15">
        <v>3.15E-2</v>
      </c>
      <c r="H17" s="11">
        <f t="shared" si="0"/>
        <v>0.90140000000000009</v>
      </c>
      <c r="L17" t="s">
        <v>15</v>
      </c>
      <c r="M17" t="s">
        <v>1</v>
      </c>
      <c r="N17" s="15">
        <v>2.7699999999999999E-2</v>
      </c>
      <c r="P17" t="s">
        <v>19</v>
      </c>
      <c r="Q17" s="15">
        <v>2.7900000000000001E-2</v>
      </c>
      <c r="R17" s="11">
        <f t="shared" si="1"/>
        <v>0.9153</v>
      </c>
      <c r="U17" t="s">
        <v>15</v>
      </c>
      <c r="V17" t="s">
        <v>1</v>
      </c>
      <c r="W17">
        <v>3.6600000000000001E-2</v>
      </c>
      <c r="Y17" t="s">
        <v>6</v>
      </c>
      <c r="Z17" s="15">
        <v>3.4799999999999998E-2</v>
      </c>
      <c r="AA17" s="11">
        <f t="shared" si="2"/>
        <v>0.90660000000000007</v>
      </c>
      <c r="AD17" t="s">
        <v>15</v>
      </c>
      <c r="AE17" t="s">
        <v>1</v>
      </c>
      <c r="AF17">
        <v>5.4699999999999999E-2</v>
      </c>
      <c r="AH17" t="s">
        <v>3</v>
      </c>
      <c r="AI17" s="15">
        <v>3.3700000000000001E-2</v>
      </c>
      <c r="AJ17" s="11">
        <f t="shared" si="3"/>
        <v>0.89859999999999995</v>
      </c>
    </row>
    <row r="18" spans="2:36" x14ac:dyDescent="0.2">
      <c r="B18" t="s">
        <v>16</v>
      </c>
      <c r="C18" t="s">
        <v>1</v>
      </c>
      <c r="D18" s="15">
        <v>4.9099999999999998E-2</v>
      </c>
      <c r="F18" t="s">
        <v>19</v>
      </c>
      <c r="G18" s="15">
        <v>3.0300000000000001E-2</v>
      </c>
      <c r="H18" s="11">
        <f t="shared" si="0"/>
        <v>0.93170000000000008</v>
      </c>
      <c r="L18" t="s">
        <v>16</v>
      </c>
      <c r="M18" t="s">
        <v>1</v>
      </c>
      <c r="N18" s="15">
        <v>6.4199999999999993E-2</v>
      </c>
      <c r="P18" t="s">
        <v>15</v>
      </c>
      <c r="Q18" s="15">
        <v>2.7699999999999999E-2</v>
      </c>
      <c r="R18" s="11">
        <f t="shared" si="1"/>
        <v>0.94299999999999995</v>
      </c>
      <c r="U18" t="s">
        <v>16</v>
      </c>
      <c r="V18" t="s">
        <v>1</v>
      </c>
      <c r="W18">
        <v>5.3999999999999999E-2</v>
      </c>
      <c r="Y18" t="s">
        <v>19</v>
      </c>
      <c r="Z18" s="15">
        <v>3.1399999999999997E-2</v>
      </c>
      <c r="AA18" s="11">
        <f t="shared" si="2"/>
        <v>0.93800000000000006</v>
      </c>
      <c r="AD18" t="s">
        <v>16</v>
      </c>
      <c r="AE18" t="s">
        <v>1</v>
      </c>
      <c r="AF18">
        <v>4.4200000000000003E-2</v>
      </c>
      <c r="AH18" t="s">
        <v>6</v>
      </c>
      <c r="AI18" s="15">
        <v>2.6499999999999999E-2</v>
      </c>
      <c r="AJ18" s="11">
        <f t="shared" si="3"/>
        <v>0.92509999999999992</v>
      </c>
    </row>
    <row r="19" spans="2:36" x14ac:dyDescent="0.2">
      <c r="B19" t="s">
        <v>17</v>
      </c>
      <c r="C19" t="s">
        <v>1</v>
      </c>
      <c r="D19" s="15">
        <v>5.6300000000000003E-2</v>
      </c>
      <c r="F19" t="s">
        <v>13</v>
      </c>
      <c r="G19" s="15">
        <v>2.4500000000000001E-2</v>
      </c>
      <c r="H19" s="11">
        <f t="shared" si="0"/>
        <v>0.95620000000000005</v>
      </c>
      <c r="L19" t="s">
        <v>17</v>
      </c>
      <c r="M19" t="s">
        <v>1</v>
      </c>
      <c r="N19" s="15">
        <v>6.7599999999999993E-2</v>
      </c>
      <c r="P19" t="s">
        <v>9</v>
      </c>
      <c r="Q19" s="15">
        <v>2.47E-2</v>
      </c>
      <c r="R19" s="11">
        <f t="shared" si="1"/>
        <v>0.9677</v>
      </c>
      <c r="U19" t="s">
        <v>17</v>
      </c>
      <c r="V19" t="s">
        <v>1</v>
      </c>
      <c r="W19">
        <v>3.9199999999999999E-2</v>
      </c>
      <c r="Y19" t="s">
        <v>13</v>
      </c>
      <c r="Z19" s="15">
        <v>2.35E-2</v>
      </c>
      <c r="AA19" s="11">
        <f t="shared" si="2"/>
        <v>0.96150000000000002</v>
      </c>
      <c r="AD19" t="s">
        <v>17</v>
      </c>
      <c r="AE19" t="s">
        <v>1</v>
      </c>
      <c r="AF19">
        <v>3.9199999999999999E-2</v>
      </c>
      <c r="AH19" t="s">
        <v>13</v>
      </c>
      <c r="AI19" s="15">
        <v>2.6499999999999999E-2</v>
      </c>
      <c r="AJ19" s="11">
        <f t="shared" si="3"/>
        <v>0.95159999999999989</v>
      </c>
    </row>
    <row r="20" spans="2:36" x14ac:dyDescent="0.2">
      <c r="B20" t="s">
        <v>18</v>
      </c>
      <c r="C20" t="s">
        <v>1</v>
      </c>
      <c r="D20" s="15">
        <v>9.4000000000000004E-3</v>
      </c>
      <c r="F20" t="s">
        <v>9</v>
      </c>
      <c r="G20" s="15">
        <v>2.35E-2</v>
      </c>
      <c r="H20" s="11">
        <f t="shared" si="0"/>
        <v>0.97970000000000002</v>
      </c>
      <c r="L20" t="s">
        <v>18</v>
      </c>
      <c r="M20" t="s">
        <v>1</v>
      </c>
      <c r="N20" s="15">
        <v>8.8000000000000005E-3</v>
      </c>
      <c r="P20" t="s">
        <v>13</v>
      </c>
      <c r="Q20" s="15">
        <v>1.95E-2</v>
      </c>
      <c r="R20" s="11">
        <f t="shared" si="1"/>
        <v>0.98719999999999997</v>
      </c>
      <c r="U20" t="s">
        <v>18</v>
      </c>
      <c r="V20" t="s">
        <v>1</v>
      </c>
      <c r="W20">
        <v>1.0500000000000001E-2</v>
      </c>
      <c r="Y20" t="s">
        <v>9</v>
      </c>
      <c r="Z20" s="15">
        <v>1.66E-2</v>
      </c>
      <c r="AA20" s="11">
        <f t="shared" si="2"/>
        <v>0.97809999999999997</v>
      </c>
      <c r="AD20" t="s">
        <v>18</v>
      </c>
      <c r="AE20" t="s">
        <v>1</v>
      </c>
      <c r="AF20">
        <v>1.9800000000000002E-2</v>
      </c>
      <c r="AH20" t="s">
        <v>18</v>
      </c>
      <c r="AI20" s="15">
        <v>1.9800000000000002E-2</v>
      </c>
      <c r="AJ20" s="11">
        <f t="shared" si="3"/>
        <v>0.97139999999999993</v>
      </c>
    </row>
    <row r="21" spans="2:36" x14ac:dyDescent="0.2">
      <c r="B21" t="s">
        <v>19</v>
      </c>
      <c r="C21" t="s">
        <v>1</v>
      </c>
      <c r="D21" s="15">
        <v>3.0300000000000001E-2</v>
      </c>
      <c r="F21" t="s">
        <v>5</v>
      </c>
      <c r="G21" s="15">
        <v>1.0999999999999999E-2</v>
      </c>
      <c r="H21" s="11">
        <f t="shared" si="0"/>
        <v>0.99070000000000003</v>
      </c>
      <c r="L21" t="s">
        <v>19</v>
      </c>
      <c r="M21" t="s">
        <v>1</v>
      </c>
      <c r="N21" s="15">
        <v>2.7900000000000001E-2</v>
      </c>
      <c r="P21" t="s">
        <v>18</v>
      </c>
      <c r="Q21" s="15">
        <v>8.8000000000000005E-3</v>
      </c>
      <c r="R21" s="11">
        <f t="shared" si="1"/>
        <v>0.996</v>
      </c>
      <c r="U21" t="s">
        <v>19</v>
      </c>
      <c r="V21" t="s">
        <v>1</v>
      </c>
      <c r="W21">
        <v>3.1399999999999997E-2</v>
      </c>
      <c r="Y21" t="s">
        <v>5</v>
      </c>
      <c r="Z21" s="15">
        <v>1.1299999999999999E-2</v>
      </c>
      <c r="AA21" s="11">
        <f t="shared" si="2"/>
        <v>0.98939999999999995</v>
      </c>
      <c r="AD21" t="s">
        <v>19</v>
      </c>
      <c r="AE21" t="s">
        <v>1</v>
      </c>
      <c r="AF21">
        <v>4.0899999999999999E-2</v>
      </c>
      <c r="AH21" t="s">
        <v>9</v>
      </c>
      <c r="AI21" s="15">
        <v>1.8200000000000001E-2</v>
      </c>
      <c r="AJ21" s="11">
        <f t="shared" si="3"/>
        <v>0.98959999999999992</v>
      </c>
    </row>
    <row r="22" spans="2:36" x14ac:dyDescent="0.2">
      <c r="B22" t="s">
        <v>20</v>
      </c>
      <c r="C22" t="s">
        <v>1</v>
      </c>
      <c r="D22" s="15">
        <v>7.7200000000000005E-2</v>
      </c>
      <c r="F22" t="s">
        <v>18</v>
      </c>
      <c r="G22" s="15">
        <v>9.4000000000000004E-3</v>
      </c>
      <c r="H22" s="11">
        <f t="shared" si="0"/>
        <v>1.0001</v>
      </c>
      <c r="L22" t="s">
        <v>20</v>
      </c>
      <c r="M22" t="s">
        <v>1</v>
      </c>
      <c r="N22" s="15">
        <v>8.1500000000000003E-2</v>
      </c>
      <c r="P22" t="s">
        <v>5</v>
      </c>
      <c r="Q22" s="15">
        <v>4.0000000000000001E-3</v>
      </c>
      <c r="R22" s="11">
        <f t="shared" si="1"/>
        <v>1</v>
      </c>
      <c r="U22" t="s">
        <v>20</v>
      </c>
      <c r="V22" t="s">
        <v>1</v>
      </c>
      <c r="W22">
        <v>8.6199999999999999E-2</v>
      </c>
      <c r="Y22" t="s">
        <v>18</v>
      </c>
      <c r="Z22" s="15">
        <v>1.0500000000000001E-2</v>
      </c>
      <c r="AA22" s="11">
        <f t="shared" si="2"/>
        <v>0.9998999999999999</v>
      </c>
      <c r="AD22" t="s">
        <v>20</v>
      </c>
      <c r="AE22" t="s">
        <v>1</v>
      </c>
      <c r="AF22">
        <v>7.9600000000000004E-2</v>
      </c>
      <c r="AH22" t="s">
        <v>5</v>
      </c>
      <c r="AI22" s="15">
        <v>1.04E-2</v>
      </c>
      <c r="AJ22" s="11">
        <f t="shared" si="3"/>
        <v>0.99999999999999989</v>
      </c>
    </row>
  </sheetData>
  <sortState xmlns:xlrd2="http://schemas.microsoft.com/office/spreadsheetml/2017/richdata2" ref="AH3:AI22">
    <sortCondition descending="1" ref="AI3:AI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Fullmer</dc:creator>
  <cp:lastModifiedBy>Matthew Fullmer</cp:lastModifiedBy>
  <dcterms:created xsi:type="dcterms:W3CDTF">2025-08-07T11:02:32Z</dcterms:created>
  <dcterms:modified xsi:type="dcterms:W3CDTF">2025-08-07T12:15:36Z</dcterms:modified>
</cp:coreProperties>
</file>