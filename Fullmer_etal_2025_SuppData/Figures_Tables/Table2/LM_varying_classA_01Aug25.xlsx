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a-my.sharepoint.com/personal/mful870_uoa_auckland_ac_nz/Documents/Histone_3di_Paper/AppeaseAnt/ForGitHub/SupplementalMaterials/Figures_Tables/Table1/"/>
    </mc:Choice>
  </mc:AlternateContent>
  <xr:revisionPtr revIDLastSave="49" documentId="8_{AA31ACF0-6553-9944-B070-EA2E012E3897}" xr6:coauthVersionLast="47" xr6:coauthVersionMax="47" xr10:uidLastSave="{F98CD05F-3916-3542-BE07-A4B5CF4075DC}"/>
  <bookViews>
    <workbookView xWindow="27580" yWindow="500" windowWidth="23620" windowHeight="16580" activeTab="1" xr2:uid="{D5765522-E4ED-C54D-A0DE-0948C31063E9}"/>
  </bookViews>
  <sheets>
    <sheet name="Full" sheetId="3" r:id="rId1"/>
    <sheet name="Figure 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3" l="1"/>
  <c r="H8" i="3"/>
  <c r="I11" i="3"/>
  <c r="G8" i="3"/>
</calcChain>
</file>

<file path=xl/sharedStrings.xml><?xml version="1.0" encoding="utf-8"?>
<sst xmlns="http://schemas.openxmlformats.org/spreadsheetml/2006/main" count="46" uniqueCount="37">
  <si>
    <t>**</t>
  </si>
  <si>
    <t>Sig</t>
  </si>
  <si>
    <t>Adjusted R-squared</t>
  </si>
  <si>
    <t xml:space="preserve">* </t>
  </si>
  <si>
    <t>*</t>
  </si>
  <si>
    <t>Pr &gt; |t|</t>
  </si>
  <si>
    <t>Significance</t>
  </si>
  <si>
    <t>A sfams</t>
  </si>
  <si>
    <t>a_35_1, a_38_1, a_39_2</t>
  </si>
  <si>
    <t>Name</t>
  </si>
  <si>
    <t>a_35_1</t>
  </si>
  <si>
    <t>a_38_1</t>
  </si>
  <si>
    <t>a_39_2</t>
  </si>
  <si>
    <t>a_35_1, a_38_1</t>
  </si>
  <si>
    <t>a_38_1, a_39_2</t>
  </si>
  <si>
    <t>a_35_1, a_39_2</t>
  </si>
  <si>
    <t>35_39.txt</t>
  </si>
  <si>
    <t>35.txt</t>
  </si>
  <si>
    <t>38.txt</t>
  </si>
  <si>
    <t>Full.txt</t>
  </si>
  <si>
    <t>NoA.txt</t>
  </si>
  <si>
    <t>none</t>
  </si>
  <si>
    <t>39.txt</t>
  </si>
  <si>
    <t>35_38.txt</t>
  </si>
  <si>
    <t>38_39.txt</t>
  </si>
  <si>
    <t>A sfam count</t>
  </si>
  <si>
    <t>.</t>
  </si>
  <si>
    <t>***</t>
  </si>
  <si>
    <t>Signif. codes:</t>
  </si>
  <si>
    <t xml:space="preserve"> &lt; 0.001</t>
  </si>
  <si>
    <t>&lt; 0.01</t>
  </si>
  <si>
    <t>&lt; 0.05</t>
  </si>
  <si>
    <t>&lt; 0.1</t>
  </si>
  <si>
    <t>Average of double A sfams</t>
  </si>
  <si>
    <t>Average of single A sfams</t>
  </si>
  <si>
    <t>Avg R-squared</t>
  </si>
  <si>
    <t># Alpha-only superfamilies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</si>
</sst>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F7441-D279-6D42-9E77-F187591F742F}">
  <dimension ref="A1:K14"/>
  <sheetViews>
    <sheetView workbookViewId="0">
      <selection activeCell="C14" sqref="C14:F14"/>
    </sheetView>
  </sheetViews>
  <sheetFormatPr baseColWidth="10" defaultRowHeight="16" x14ac:dyDescent="0.2"/>
  <cols>
    <col min="2" max="2" width="13.1640625" customWidth="1"/>
  </cols>
  <sheetData>
    <row r="1" spans="1:11" x14ac:dyDescent="0.2">
      <c r="J1" t="s">
        <v>28</v>
      </c>
    </row>
    <row r="2" spans="1:11" x14ac:dyDescent="0.2">
      <c r="J2" t="s">
        <v>29</v>
      </c>
      <c r="K2" t="s">
        <v>27</v>
      </c>
    </row>
    <row r="3" spans="1:11" x14ac:dyDescent="0.2">
      <c r="J3" t="s">
        <v>30</v>
      </c>
      <c r="K3" t="s">
        <v>0</v>
      </c>
    </row>
    <row r="4" spans="1:11" x14ac:dyDescent="0.2">
      <c r="J4" t="s">
        <v>31</v>
      </c>
      <c r="K4" t="s">
        <v>4</v>
      </c>
    </row>
    <row r="5" spans="1:11" x14ac:dyDescent="0.2">
      <c r="J5" t="s">
        <v>32</v>
      </c>
      <c r="K5" t="s">
        <v>26</v>
      </c>
    </row>
    <row r="6" spans="1:11" x14ac:dyDescent="0.2">
      <c r="A6" t="s">
        <v>9</v>
      </c>
      <c r="B6" t="s">
        <v>7</v>
      </c>
      <c r="C6" t="s">
        <v>25</v>
      </c>
      <c r="D6" t="s">
        <v>5</v>
      </c>
      <c r="E6" t="s">
        <v>1</v>
      </c>
      <c r="F6" t="s">
        <v>2</v>
      </c>
      <c r="G6" t="s">
        <v>33</v>
      </c>
      <c r="H6" t="s">
        <v>35</v>
      </c>
      <c r="I6" t="s">
        <v>34</v>
      </c>
      <c r="J6" t="s">
        <v>35</v>
      </c>
    </row>
    <row r="7" spans="1:11" x14ac:dyDescent="0.2">
      <c r="A7" t="s">
        <v>19</v>
      </c>
      <c r="B7" t="s">
        <v>8</v>
      </c>
      <c r="C7">
        <v>3</v>
      </c>
      <c r="D7" s="1">
        <v>1.2529999999999999E-2</v>
      </c>
      <c r="E7" s="2" t="s">
        <v>3</v>
      </c>
      <c r="F7" s="1">
        <v>0.55830000000000002</v>
      </c>
    </row>
    <row r="8" spans="1:11" x14ac:dyDescent="0.2">
      <c r="A8" t="s">
        <v>23</v>
      </c>
      <c r="B8" t="s">
        <v>13</v>
      </c>
      <c r="C8">
        <v>2</v>
      </c>
      <c r="D8" s="2">
        <v>2.8889999999999999E-2</v>
      </c>
      <c r="E8" s="2" t="s">
        <v>4</v>
      </c>
      <c r="F8" s="2">
        <v>0.50590000000000002</v>
      </c>
      <c r="G8" s="3">
        <f>AVERAGE(D8:D10)</f>
        <v>4.8893333333333337E-2</v>
      </c>
      <c r="H8" s="3">
        <f>AVERAGE(F8:F10)</f>
        <v>0.44206666666666661</v>
      </c>
    </row>
    <row r="9" spans="1:11" x14ac:dyDescent="0.2">
      <c r="A9" t="s">
        <v>24</v>
      </c>
      <c r="B9" t="s">
        <v>14</v>
      </c>
      <c r="C9">
        <v>2</v>
      </c>
      <c r="D9" s="2">
        <v>2.6790000000000001E-2</v>
      </c>
      <c r="E9" s="2" t="s">
        <v>4</v>
      </c>
      <c r="F9" s="2">
        <v>0.51719999999999999</v>
      </c>
    </row>
    <row r="10" spans="1:11" x14ac:dyDescent="0.2">
      <c r="A10" t="s">
        <v>16</v>
      </c>
      <c r="B10" t="s">
        <v>15</v>
      </c>
      <c r="C10">
        <v>2</v>
      </c>
      <c r="D10" s="2">
        <v>9.0999999999999998E-2</v>
      </c>
      <c r="E10" s="2" t="s">
        <v>26</v>
      </c>
      <c r="F10" s="2">
        <v>0.30309999999999998</v>
      </c>
    </row>
    <row r="11" spans="1:11" x14ac:dyDescent="0.2">
      <c r="A11" t="s">
        <v>17</v>
      </c>
      <c r="B11" t="s">
        <v>10</v>
      </c>
      <c r="C11">
        <v>1</v>
      </c>
      <c r="D11" s="2">
        <v>0.3115</v>
      </c>
      <c r="E11" s="2"/>
      <c r="F11" s="2">
        <v>4.2590000000000003E-2</v>
      </c>
      <c r="I11" s="3">
        <f>AVERAGE(D11:D13)</f>
        <v>0.22023333333333336</v>
      </c>
      <c r="J11">
        <f>AVERAGE(F11:F13)</f>
        <v>0.18201999999999999</v>
      </c>
    </row>
    <row r="12" spans="1:11" x14ac:dyDescent="0.2">
      <c r="A12" t="s">
        <v>18</v>
      </c>
      <c r="B12" t="s">
        <v>11</v>
      </c>
      <c r="C12">
        <v>1</v>
      </c>
      <c r="D12" s="2">
        <v>6.3200000000000006E-2</v>
      </c>
      <c r="E12" s="2" t="s">
        <v>26</v>
      </c>
      <c r="F12" s="2">
        <v>0.43730000000000002</v>
      </c>
    </row>
    <row r="13" spans="1:11" x14ac:dyDescent="0.2">
      <c r="A13" t="s">
        <v>22</v>
      </c>
      <c r="B13" t="s">
        <v>12</v>
      </c>
      <c r="C13">
        <v>1</v>
      </c>
      <c r="D13" s="2">
        <v>0.28599999999999998</v>
      </c>
      <c r="E13" s="2"/>
      <c r="F13" s="2">
        <v>6.6170000000000007E-2</v>
      </c>
    </row>
    <row r="14" spans="1:11" x14ac:dyDescent="0.2">
      <c r="A14" t="s">
        <v>20</v>
      </c>
      <c r="B14" t="s">
        <v>21</v>
      </c>
      <c r="C14">
        <v>0</v>
      </c>
      <c r="D14" s="1">
        <v>0.33</v>
      </c>
      <c r="E14" s="2"/>
      <c r="F14" s="1">
        <v>4.3409999999999997E-2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AE664-5A21-0B42-BAEB-A7EFEC9EBABF}">
  <dimension ref="B3:E8"/>
  <sheetViews>
    <sheetView tabSelected="1" workbookViewId="0">
      <selection activeCell="A3" sqref="A3"/>
    </sheetView>
  </sheetViews>
  <sheetFormatPr baseColWidth="10" defaultRowHeight="16" x14ac:dyDescent="0.2"/>
  <cols>
    <col min="1" max="1" width="14.83203125" bestFit="1" customWidth="1"/>
    <col min="2" max="2" width="22.5" bestFit="1" customWidth="1"/>
    <col min="3" max="3" width="8.6640625" customWidth="1"/>
    <col min="4" max="4" width="11" bestFit="1" customWidth="1"/>
    <col min="5" max="5" width="17" bestFit="1" customWidth="1"/>
  </cols>
  <sheetData>
    <row r="3" spans="2:5" ht="17" thickBot="1" x14ac:dyDescent="0.25"/>
    <row r="4" spans="2:5" ht="17" thickBot="1" x14ac:dyDescent="0.25">
      <c r="B4" s="6" t="s">
        <v>36</v>
      </c>
      <c r="C4" s="7" t="s">
        <v>5</v>
      </c>
      <c r="D4" s="7" t="s">
        <v>6</v>
      </c>
      <c r="E4" s="8" t="s">
        <v>2</v>
      </c>
    </row>
    <row r="5" spans="2:5" x14ac:dyDescent="0.2">
      <c r="B5" s="9">
        <v>3</v>
      </c>
      <c r="C5" s="11">
        <v>1.2529999999999999E-2</v>
      </c>
      <c r="D5" s="4" t="s">
        <v>4</v>
      </c>
      <c r="E5" s="14">
        <v>0.55830000000000002</v>
      </c>
    </row>
    <row r="6" spans="2:5" x14ac:dyDescent="0.2">
      <c r="B6" s="9">
        <v>2</v>
      </c>
      <c r="C6" s="11">
        <v>4.8893333333333337E-2</v>
      </c>
      <c r="D6" s="4" t="s">
        <v>4</v>
      </c>
      <c r="E6" s="14">
        <v>0.44206666666666661</v>
      </c>
    </row>
    <row r="7" spans="2:5" x14ac:dyDescent="0.2">
      <c r="B7" s="9">
        <v>1</v>
      </c>
      <c r="C7" s="12">
        <v>0.22023000000000001</v>
      </c>
      <c r="D7" s="4"/>
      <c r="E7" s="15">
        <v>0.18201999999999999</v>
      </c>
    </row>
    <row r="8" spans="2:5" ht="17" thickBot="1" x14ac:dyDescent="0.25">
      <c r="B8" s="10">
        <v>0</v>
      </c>
      <c r="C8" s="13">
        <v>0.33</v>
      </c>
      <c r="D8" s="5"/>
      <c r="E8" s="16">
        <v>4.3409999999999997E-2</v>
      </c>
    </row>
  </sheetData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</vt:lpstr>
      <vt:lpstr>Figure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Fullmer</dc:creator>
  <cp:lastModifiedBy>Matthew Fullmer</cp:lastModifiedBy>
  <cp:lastPrinted>2025-07-31T22:55:50Z</cp:lastPrinted>
  <dcterms:created xsi:type="dcterms:W3CDTF">2025-06-19T03:02:06Z</dcterms:created>
  <dcterms:modified xsi:type="dcterms:W3CDTF">2025-07-31T22:56:54Z</dcterms:modified>
</cp:coreProperties>
</file>