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mat471/Documents/GitHub/FullmerMatzke25 /Fullmer_etal_2025/SuppTables/"/>
    </mc:Choice>
  </mc:AlternateContent>
  <xr:revisionPtr revIDLastSave="0" documentId="13_ncr:1_{E5E712A5-B8C4-E44F-A92F-995BFF0B08E3}" xr6:coauthVersionLast="47" xr6:coauthVersionMax="47" xr10:uidLastSave="{00000000-0000-0000-0000-000000000000}"/>
  <bookViews>
    <workbookView xWindow="3380" yWindow="500" windowWidth="36780" windowHeight="19780" xr2:uid="{27D81032-FDFA-CB43-AC2D-F740645E5C5B}"/>
  </bookViews>
  <sheets>
    <sheet name="TableS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C10" i="1"/>
  <c r="B10" i="1"/>
</calcChain>
</file>

<file path=xl/sharedStrings.xml><?xml version="1.0" encoding="utf-8"?>
<sst xmlns="http://schemas.openxmlformats.org/spreadsheetml/2006/main" count="44" uniqueCount="38">
  <si>
    <t>CPL vs AF</t>
  </si>
  <si>
    <t>CPL vs Garg LLM</t>
  </si>
  <si>
    <t>Mean</t>
  </si>
  <si>
    <t>Call:</t>
  </si>
  <si>
    <t>lm(formula = CPL ~ Garg.AF, data = garg_filn)</t>
  </si>
  <si>
    <t>Coefficients:</t>
  </si>
  <si>
    <t>Residuals:</t>
  </si>
  <si>
    <t xml:space="preserve">     1      2      3      4 </t>
  </si>
  <si>
    <t xml:space="preserve">-2.619 -0.848  5.679 -2.212 </t>
  </si>
  <si>
    <t xml:space="preserve">            Estimate Std. Error t value Pr(&gt;|t|)  </t>
  </si>
  <si>
    <t xml:space="preserve">(Intercept)  -3.3785     7.7856  -0.434   0.7067  </t>
  </si>
  <si>
    <t>Garg.AF       1.1960     0.1631   7.335   0.0181 *</t>
  </si>
  <si>
    <t>---</t>
  </si>
  <si>
    <t>Signif. codes:  0 ‘***’ 0.001 ‘**’ 0.01 ‘*’ 0.05 ‘.’ 0.1 ‘ ’ 1</t>
  </si>
  <si>
    <t>Residual standard error: 4.728 on 2 degrees of freedom</t>
  </si>
  <si>
    <t>Multiple R-squared:  0.9642,</t>
  </si>
  <si>
    <t xml:space="preserve">Adjusted R-squared:  0.9462 </t>
  </si>
  <si>
    <t>F-statistic:  53.8 on 1 and 2 DF,  p-value: 0.01809</t>
  </si>
  <si>
    <t>lm(formula = CPL ~ Garg.LLM, data = garg_filn)</t>
  </si>
  <si>
    <t xml:space="preserve">      1       2       3       4 </t>
  </si>
  <si>
    <t xml:space="preserve">-0.4614 -5.8990  5.9927  0.3676 </t>
  </si>
  <si>
    <t xml:space="preserve">(Intercept)   2.0006     9.0266   0.222   0.8452  </t>
  </si>
  <si>
    <t>Garg.LLM      1.0436     0.1814   5.754   0.0289 *</t>
  </si>
  <si>
    <t>Residual standard error: 5.961 on 2 degrees of freedom</t>
  </si>
  <si>
    <t>Multiple R-squared:  0.943,</t>
  </si>
  <si>
    <t xml:space="preserve">Adjusted R-squared:  0.9146 </t>
  </si>
  <si>
    <t>F-statistic: 33.11 on 1 and 2 DF,  p-value: 0.0289</t>
  </si>
  <si>
    <t>lm P&gt;|t|</t>
  </si>
  <si>
    <t>Rate matrix from Puente-Lelievre et al. 2024, derived by converting the FoldSeek 3DI cost matrix to a rate matrix.</t>
  </si>
  <si>
    <t>Garg &amp; Hochberg (2024) 3Di "AF" rate matrix, estimated from large dataset of 3Di alignments from AlphaFold structural models</t>
  </si>
  <si>
    <t>Garg &amp; Hochberg (2024) 3Di "LLM" rate matrix, estimated from a large dataset of alignments of LLM-derived 3Di sequences</t>
  </si>
  <si>
    <t>PFAM superfamily</t>
  </si>
  <si>
    <t>a.35.1</t>
  </si>
  <si>
    <t>a.38.1</t>
  </si>
  <si>
    <t>a.39.2</t>
  </si>
  <si>
    <t>b.122.1</t>
  </si>
  <si>
    <t>Statistical tests</t>
  </si>
  <si>
    <r>
      <rPr>
        <b/>
        <sz val="12"/>
        <color theme="1"/>
        <rFont val="Aptos Narrow"/>
        <scheme val="minor"/>
      </rPr>
      <t xml:space="preserve">Table S3. </t>
    </r>
    <r>
      <rPr>
        <sz val="12"/>
        <color theme="1"/>
        <rFont val="Aptos Narrow"/>
        <family val="2"/>
        <scheme val="minor"/>
      </rPr>
      <t xml:space="preserve">Tests of the effect of rate matrices on IQ-TREE2 ultrafast bootstrap percentages in 4 selected superfamilies.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</si>
</sst>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2" xfId="0" applyBorder="1"/>
    <xf numFmtId="2" fontId="0" fillId="0" borderId="2" xfId="0" applyNumberFormat="1" applyBorder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5BB86-6424-6545-ADE7-881153E64464}">
  <dimension ref="A2:G35"/>
  <sheetViews>
    <sheetView tabSelected="1" workbookViewId="0">
      <selection activeCell="A3" sqref="A3"/>
    </sheetView>
  </sheetViews>
  <sheetFormatPr baseColWidth="10" defaultRowHeight="16" x14ac:dyDescent="0.2"/>
  <cols>
    <col min="1" max="1" width="11.1640625" customWidth="1"/>
    <col min="2" max="4" width="28" customWidth="1"/>
  </cols>
  <sheetData>
    <row r="2" spans="1:4" x14ac:dyDescent="0.2">
      <c r="A2" s="11" t="s">
        <v>37</v>
      </c>
      <c r="B2" s="12"/>
      <c r="C2" s="12"/>
      <c r="D2" s="12"/>
    </row>
    <row r="3" spans="1:4" ht="17" thickBot="1" x14ac:dyDescent="0.25"/>
    <row r="4" spans="1:4" s="2" customFormat="1" ht="86" thickBot="1" x14ac:dyDescent="0.25">
      <c r="A4" s="4" t="s">
        <v>31</v>
      </c>
      <c r="B4" s="4" t="s">
        <v>28</v>
      </c>
      <c r="C4" s="4" t="s">
        <v>29</v>
      </c>
      <c r="D4" s="4" t="s">
        <v>30</v>
      </c>
    </row>
    <row r="5" spans="1:4" x14ac:dyDescent="0.2">
      <c r="A5" s="8" t="s">
        <v>32</v>
      </c>
      <c r="B5" s="9">
        <v>25.724137931034502</v>
      </c>
      <c r="C5" s="9">
        <v>26.517241379310299</v>
      </c>
      <c r="D5" s="9">
        <v>23.172413793103399</v>
      </c>
    </row>
    <row r="6" spans="1:4" x14ac:dyDescent="0.2">
      <c r="A6" t="s">
        <v>33</v>
      </c>
      <c r="B6" s="5">
        <v>47.5</v>
      </c>
      <c r="C6" s="5">
        <v>43.25</v>
      </c>
      <c r="D6" s="5">
        <v>49.25</v>
      </c>
    </row>
    <row r="7" spans="1:4" x14ac:dyDescent="0.2">
      <c r="A7" t="s">
        <v>34</v>
      </c>
      <c r="B7" s="5">
        <v>56</v>
      </c>
      <c r="C7" s="5">
        <v>44.9</v>
      </c>
      <c r="D7" s="5">
        <v>46</v>
      </c>
    </row>
    <row r="8" spans="1:4" x14ac:dyDescent="0.2">
      <c r="A8" t="s">
        <v>35</v>
      </c>
      <c r="B8" s="5">
        <v>74.900000000000006</v>
      </c>
      <c r="C8" s="5">
        <v>67.3</v>
      </c>
      <c r="D8" s="5">
        <v>69.5</v>
      </c>
    </row>
    <row r="9" spans="1:4" ht="5" customHeight="1" x14ac:dyDescent="0.2"/>
    <row r="10" spans="1:4" ht="17" thickBot="1" x14ac:dyDescent="0.25">
      <c r="A10" s="6" t="s">
        <v>2</v>
      </c>
      <c r="B10" s="7">
        <f>AVERAGE(B5:B8)</f>
        <v>51.031034482758628</v>
      </c>
      <c r="C10" s="7">
        <f>AVERAGE(C5:C8)</f>
        <v>45.49181034482757</v>
      </c>
      <c r="D10" s="7">
        <f>AVERAGE(D5:D8)</f>
        <v>46.980603448275851</v>
      </c>
    </row>
    <row r="11" spans="1:4" x14ac:dyDescent="0.2">
      <c r="B11" s="1"/>
      <c r="C11" s="1"/>
      <c r="D11" s="1"/>
    </row>
    <row r="12" spans="1:4" x14ac:dyDescent="0.2">
      <c r="A12" s="3" t="s">
        <v>36</v>
      </c>
      <c r="B12" s="1"/>
      <c r="C12" s="1"/>
      <c r="D12" s="1"/>
    </row>
    <row r="13" spans="1:4" x14ac:dyDescent="0.2">
      <c r="C13" s="10" t="s">
        <v>0</v>
      </c>
      <c r="D13" s="10" t="s">
        <v>1</v>
      </c>
    </row>
    <row r="14" spans="1:4" x14ac:dyDescent="0.2">
      <c r="A14" t="s">
        <v>27</v>
      </c>
      <c r="C14">
        <v>1.8100000000000002E-2</v>
      </c>
      <c r="D14">
        <v>2.8899999999999999E-2</v>
      </c>
    </row>
    <row r="19" spans="1:4" x14ac:dyDescent="0.2">
      <c r="A19" t="s">
        <v>3</v>
      </c>
      <c r="D19" t="s">
        <v>3</v>
      </c>
    </row>
    <row r="20" spans="1:4" x14ac:dyDescent="0.2">
      <c r="A20" t="s">
        <v>4</v>
      </c>
      <c r="D20" t="s">
        <v>18</v>
      </c>
    </row>
    <row r="22" spans="1:4" x14ac:dyDescent="0.2">
      <c r="A22" t="s">
        <v>6</v>
      </c>
      <c r="D22" t="s">
        <v>6</v>
      </c>
    </row>
    <row r="23" spans="1:4" x14ac:dyDescent="0.2">
      <c r="A23" t="s">
        <v>7</v>
      </c>
      <c r="D23" t="s">
        <v>19</v>
      </c>
    </row>
    <row r="24" spans="1:4" x14ac:dyDescent="0.2">
      <c r="A24" t="s">
        <v>8</v>
      </c>
      <c r="D24" t="s">
        <v>20</v>
      </c>
    </row>
    <row r="26" spans="1:4" x14ac:dyDescent="0.2">
      <c r="A26" t="s">
        <v>5</v>
      </c>
      <c r="D26" t="s">
        <v>5</v>
      </c>
    </row>
    <row r="27" spans="1:4" x14ac:dyDescent="0.2">
      <c r="A27" t="s">
        <v>9</v>
      </c>
      <c r="D27" t="s">
        <v>9</v>
      </c>
    </row>
    <row r="28" spans="1:4" x14ac:dyDescent="0.2">
      <c r="A28" t="s">
        <v>10</v>
      </c>
      <c r="D28" t="s">
        <v>21</v>
      </c>
    </row>
    <row r="29" spans="1:4" x14ac:dyDescent="0.2">
      <c r="A29" t="s">
        <v>11</v>
      </c>
      <c r="D29" t="s">
        <v>22</v>
      </c>
    </row>
    <row r="30" spans="1:4" x14ac:dyDescent="0.2">
      <c r="A30" t="s">
        <v>12</v>
      </c>
      <c r="D30" t="s">
        <v>12</v>
      </c>
    </row>
    <row r="31" spans="1:4" x14ac:dyDescent="0.2">
      <c r="A31" t="s">
        <v>13</v>
      </c>
      <c r="D31" t="s">
        <v>13</v>
      </c>
    </row>
    <row r="33" spans="1:7" x14ac:dyDescent="0.2">
      <c r="A33" t="s">
        <v>14</v>
      </c>
      <c r="D33" t="s">
        <v>23</v>
      </c>
    </row>
    <row r="34" spans="1:7" x14ac:dyDescent="0.2">
      <c r="A34" t="s">
        <v>15</v>
      </c>
      <c r="B34" t="s">
        <v>16</v>
      </c>
      <c r="D34" t="s">
        <v>24</v>
      </c>
      <c r="G34" t="s">
        <v>25</v>
      </c>
    </row>
    <row r="35" spans="1:7" x14ac:dyDescent="0.2">
      <c r="A35" t="s">
        <v>17</v>
      </c>
      <c r="D35" t="s">
        <v>26</v>
      </c>
    </row>
  </sheetData>
  <mergeCells count="1">
    <mergeCell ref="A2:D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Fullmer</dc:creator>
  <cp:lastModifiedBy>Nicholas Matzke</cp:lastModifiedBy>
  <dcterms:created xsi:type="dcterms:W3CDTF">2025-06-17T05:13:58Z</dcterms:created>
  <dcterms:modified xsi:type="dcterms:W3CDTF">2025-08-07T23:44:25Z</dcterms:modified>
</cp:coreProperties>
</file>