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FullmerMatzke25 /Fullmer_etal_2025/SuppTables/"/>
    </mc:Choice>
  </mc:AlternateContent>
  <xr:revisionPtr revIDLastSave="0" documentId="13_ncr:1_{4DA67C0F-0D2A-9C41-A299-0C8A013DC1C8}" xr6:coauthVersionLast="47" xr6:coauthVersionMax="47" xr10:uidLastSave="{00000000-0000-0000-0000-000000000000}"/>
  <bookViews>
    <workbookView xWindow="-24480" yWindow="2260" windowWidth="24000" windowHeight="16940" xr2:uid="{D7A35D27-8F70-A445-AB8E-9A500BB32C66}"/>
  </bookViews>
  <sheets>
    <sheet name="Table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D33" i="1"/>
  <c r="E33" i="1"/>
  <c r="F33" i="1"/>
  <c r="G33" i="1"/>
  <c r="H33" i="1"/>
  <c r="I33" i="1"/>
  <c r="J33" i="1"/>
  <c r="K33" i="1"/>
  <c r="C33" i="1"/>
  <c r="E31" i="1"/>
  <c r="D31" i="1"/>
  <c r="C31" i="1"/>
  <c r="O7" i="1"/>
  <c r="O6" i="1"/>
  <c r="N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Q6" i="1"/>
  <c r="P6" i="1"/>
  <c r="N6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</calcChain>
</file>

<file path=xl/sharedStrings.xml><?xml version="1.0" encoding="utf-8"?>
<sst xmlns="http://schemas.openxmlformats.org/spreadsheetml/2006/main" count="42" uniqueCount="42">
  <si>
    <t>pi(A)</t>
  </si>
  <si>
    <t>pi(R)</t>
  </si>
  <si>
    <t>pi(N)</t>
  </si>
  <si>
    <t>pi(D)</t>
  </si>
  <si>
    <t>pi(C)</t>
  </si>
  <si>
    <t>pi(Q)</t>
  </si>
  <si>
    <t>pi(E)</t>
  </si>
  <si>
    <t>pi(G)</t>
  </si>
  <si>
    <t>pi(H)</t>
  </si>
  <si>
    <t>pi(I)</t>
  </si>
  <si>
    <t>pi(L)</t>
  </si>
  <si>
    <t>pi(K)</t>
  </si>
  <si>
    <t>pi(M)</t>
  </si>
  <si>
    <t>pi(F)</t>
  </si>
  <si>
    <t>pi(P)</t>
  </si>
  <si>
    <t>pi(S)</t>
  </si>
  <si>
    <t>pi(T)</t>
  </si>
  <si>
    <t>pi(W)</t>
  </si>
  <si>
    <t>pi(Y)</t>
  </si>
  <si>
    <t>pi(V)</t>
  </si>
  <si>
    <t>State</t>
  </si>
  <si>
    <t>A</t>
  </si>
  <si>
    <t>B</t>
  </si>
  <si>
    <t>C</t>
  </si>
  <si>
    <t>D</t>
  </si>
  <si>
    <t>Means by Class</t>
  </si>
  <si>
    <t>a.35.1</t>
  </si>
  <si>
    <t>a.38.1</t>
  </si>
  <si>
    <t>a.39.2</t>
  </si>
  <si>
    <t>b.15.1</t>
  </si>
  <si>
    <t>b.122.1</t>
  </si>
  <si>
    <t>c.110.1</t>
  </si>
  <si>
    <t>c.124.1</t>
  </si>
  <si>
    <t>d.120.1</t>
  </si>
  <si>
    <t>d.122.1</t>
  </si>
  <si>
    <t>Overall mean</t>
  </si>
  <si>
    <t>Three</t>
  </si>
  <si>
    <t>most</t>
  </si>
  <si>
    <t>common</t>
  </si>
  <si>
    <t>total</t>
  </si>
  <si>
    <t>Max frequency</t>
  </si>
  <si>
    <r>
      <rPr>
        <b/>
        <sz val="12"/>
        <color theme="1"/>
        <rFont val="Aptos Narrow"/>
        <scheme val="minor"/>
      </rPr>
      <t>Table S2.</t>
    </r>
    <r>
      <rPr>
        <sz val="12"/>
        <color theme="1"/>
        <rFont val="Aptos Narrow"/>
        <family val="2"/>
        <scheme val="minor"/>
      </rPr>
      <t xml:space="preserve"> Frequencies of 3Di character states for the 9 superfamilies. Frequencies taken from IQ-TREE2 empirical base frequency counts (.iqtree files).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</si>
</sst>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1DBA-67AB-0A4C-8BC3-6870DA45DAF9}">
  <dimension ref="B2:Q33"/>
  <sheetViews>
    <sheetView tabSelected="1" workbookViewId="0">
      <selection activeCell="T18" sqref="T18"/>
    </sheetView>
  </sheetViews>
  <sheetFormatPr baseColWidth="10" defaultRowHeight="16" x14ac:dyDescent="0.2"/>
  <cols>
    <col min="1" max="1" width="3" customWidth="1"/>
    <col min="2" max="11" width="8.83203125" customWidth="1"/>
    <col min="12" max="12" width="2.5" customWidth="1"/>
    <col min="13" max="17" width="8.33203125" customWidth="1"/>
  </cols>
  <sheetData>
    <row r="2" spans="2:17" x14ac:dyDescent="0.2">
      <c r="B2" s="2" t="s">
        <v>41</v>
      </c>
    </row>
    <row r="3" spans="2:17" ht="17" thickBot="1" x14ac:dyDescent="0.25">
      <c r="B3" s="2"/>
    </row>
    <row r="4" spans="2:17" s="6" customForma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8" t="s">
        <v>35</v>
      </c>
      <c r="N4" s="8" t="s">
        <v>25</v>
      </c>
      <c r="O4" s="8"/>
      <c r="P4" s="8"/>
      <c r="Q4" s="8"/>
    </row>
    <row r="5" spans="2:17" s="6" customFormat="1" ht="18" thickBot="1" x14ac:dyDescent="0.25">
      <c r="B5" s="4" t="s">
        <v>20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7"/>
      <c r="M5" s="9"/>
      <c r="N5" s="4" t="s">
        <v>21</v>
      </c>
      <c r="O5" s="4" t="s">
        <v>22</v>
      </c>
      <c r="P5" s="4" t="s">
        <v>23</v>
      </c>
      <c r="Q5" s="4" t="s">
        <v>24</v>
      </c>
    </row>
    <row r="6" spans="2:17" x14ac:dyDescent="0.2">
      <c r="B6" t="s">
        <v>0</v>
      </c>
      <c r="C6">
        <v>1.5100000000000001E-2</v>
      </c>
      <c r="D6">
        <v>2E-3</v>
      </c>
      <c r="E6">
        <v>1.8200000000000001E-2</v>
      </c>
      <c r="F6">
        <v>5.16E-2</v>
      </c>
      <c r="G6">
        <v>6.08E-2</v>
      </c>
      <c r="H6">
        <v>3.3000000000000002E-2</v>
      </c>
      <c r="I6">
        <v>6.5600000000000006E-2</v>
      </c>
      <c r="J6">
        <v>4.3200000000000002E-2</v>
      </c>
      <c r="K6">
        <v>3.3799999999999997E-2</v>
      </c>
      <c r="M6" s="3">
        <f>AVERAGE(C6:K6)</f>
        <v>3.5922222222222223E-2</v>
      </c>
      <c r="N6">
        <f>AVERAGE(C6)</f>
        <v>1.5100000000000001E-2</v>
      </c>
      <c r="O6">
        <f>AVERAGE(F6:G6)</f>
        <v>5.62E-2</v>
      </c>
      <c r="P6">
        <f>AVERAGE(H6:I6)</f>
        <v>4.9300000000000004E-2</v>
      </c>
      <c r="Q6">
        <f>AVERAGE(J6:K6)</f>
        <v>3.85E-2</v>
      </c>
    </row>
    <row r="7" spans="2:17" x14ac:dyDescent="0.2">
      <c r="B7" t="s">
        <v>1</v>
      </c>
      <c r="C7">
        <v>2.29E-2</v>
      </c>
      <c r="D7">
        <v>1.17E-2</v>
      </c>
      <c r="E7">
        <v>2.4299999999999999E-2</v>
      </c>
      <c r="F7">
        <v>0.03</v>
      </c>
      <c r="G7">
        <v>3.4200000000000001E-2</v>
      </c>
      <c r="H7">
        <v>3.2099999999999997E-2</v>
      </c>
      <c r="I7">
        <v>4.2200000000000001E-2</v>
      </c>
      <c r="J7">
        <v>4.9299999999999997E-2</v>
      </c>
      <c r="K7">
        <v>2.5700000000000001E-2</v>
      </c>
      <c r="M7" s="3">
        <f t="shared" ref="M7:M25" si="0">AVERAGE(C7:K7)</f>
        <v>3.0266666666666664E-2</v>
      </c>
      <c r="N7">
        <f t="shared" ref="N7:N25" si="1">AVERAGE(C7)</f>
        <v>2.29E-2</v>
      </c>
      <c r="O7">
        <f>AVERAGE(F7:G7)</f>
        <v>3.2100000000000004E-2</v>
      </c>
      <c r="P7">
        <f t="shared" ref="P7:P25" si="2">AVERAGE(H7:I7)</f>
        <v>3.7150000000000002E-2</v>
      </c>
      <c r="Q7">
        <f t="shared" ref="Q7:Q25" si="3">AVERAGE(J7:K7)</f>
        <v>3.7499999999999999E-2</v>
      </c>
    </row>
    <row r="8" spans="2:17" x14ac:dyDescent="0.2">
      <c r="B8" t="s">
        <v>2</v>
      </c>
      <c r="C8">
        <v>3.2899999999999999E-2</v>
      </c>
      <c r="D8">
        <v>0</v>
      </c>
      <c r="E8">
        <v>2.98E-2</v>
      </c>
      <c r="F8">
        <v>0.01</v>
      </c>
      <c r="G8">
        <v>2.3199999999999998E-2</v>
      </c>
      <c r="H8">
        <v>2.0899999999999998E-2</v>
      </c>
      <c r="I8">
        <v>4.1200000000000001E-2</v>
      </c>
      <c r="J8">
        <v>3.1899999999999998E-2</v>
      </c>
      <c r="K8">
        <v>2.3699999999999999E-2</v>
      </c>
      <c r="M8" s="3">
        <f t="shared" si="0"/>
        <v>2.3733333333333335E-2</v>
      </c>
      <c r="N8">
        <f t="shared" si="1"/>
        <v>3.2899999999999999E-2</v>
      </c>
      <c r="O8">
        <f t="shared" ref="O8:O25" si="4">AVERAGE(F8:G8)</f>
        <v>1.66E-2</v>
      </c>
      <c r="P8">
        <f t="shared" si="2"/>
        <v>3.1050000000000001E-2</v>
      </c>
      <c r="Q8">
        <f t="shared" si="3"/>
        <v>2.7799999999999998E-2</v>
      </c>
    </row>
    <row r="9" spans="2:17" x14ac:dyDescent="0.2">
      <c r="B9" t="s">
        <v>3</v>
      </c>
      <c r="C9">
        <v>0.13639999999999999</v>
      </c>
      <c r="D9">
        <v>0.1174</v>
      </c>
      <c r="E9">
        <v>0.1381</v>
      </c>
      <c r="F9">
        <v>0.30609999999999998</v>
      </c>
      <c r="G9">
        <v>0.16869999999999999</v>
      </c>
      <c r="H9">
        <v>0.1772</v>
      </c>
      <c r="I9">
        <v>0.10299999999999999</v>
      </c>
      <c r="J9">
        <v>0.1487</v>
      </c>
      <c r="K9">
        <v>0.11310000000000001</v>
      </c>
      <c r="M9" s="3">
        <f t="shared" si="0"/>
        <v>0.1565222222222222</v>
      </c>
      <c r="N9">
        <f t="shared" si="1"/>
        <v>0.13639999999999999</v>
      </c>
      <c r="O9">
        <f t="shared" si="4"/>
        <v>0.2374</v>
      </c>
      <c r="P9">
        <f t="shared" si="2"/>
        <v>0.1401</v>
      </c>
      <c r="Q9">
        <f t="shared" si="3"/>
        <v>0.13090000000000002</v>
      </c>
    </row>
    <row r="10" spans="2:17" x14ac:dyDescent="0.2">
      <c r="B10" t="s">
        <v>4</v>
      </c>
      <c r="C10">
        <v>7.7899999999999997E-2</v>
      </c>
      <c r="D10">
        <v>5.0900000000000001E-2</v>
      </c>
      <c r="E10">
        <v>5.8400000000000001E-2</v>
      </c>
      <c r="F10">
        <v>1.0800000000000001E-2</v>
      </c>
      <c r="G10">
        <v>3.15E-2</v>
      </c>
      <c r="H10">
        <v>2.1700000000000001E-2</v>
      </c>
      <c r="I10">
        <v>3.5400000000000001E-2</v>
      </c>
      <c r="J10">
        <v>4.7E-2</v>
      </c>
      <c r="K10">
        <v>3.8600000000000002E-2</v>
      </c>
      <c r="M10" s="3">
        <f t="shared" si="0"/>
        <v>4.1355555555555562E-2</v>
      </c>
      <c r="N10">
        <f t="shared" si="1"/>
        <v>7.7899999999999997E-2</v>
      </c>
      <c r="O10">
        <f t="shared" si="4"/>
        <v>2.1150000000000002E-2</v>
      </c>
      <c r="P10">
        <f t="shared" si="2"/>
        <v>2.8549999999999999E-2</v>
      </c>
      <c r="Q10">
        <f t="shared" si="3"/>
        <v>4.2800000000000005E-2</v>
      </c>
    </row>
    <row r="11" spans="2:17" x14ac:dyDescent="0.2">
      <c r="B11" t="s">
        <v>5</v>
      </c>
      <c r="C11">
        <v>4.58E-2</v>
      </c>
      <c r="D11">
        <v>1.9599999999999999E-2</v>
      </c>
      <c r="E11">
        <v>6.7500000000000004E-2</v>
      </c>
      <c r="F11">
        <v>4.9099999999999998E-2</v>
      </c>
      <c r="G11">
        <v>5.1400000000000001E-2</v>
      </c>
      <c r="H11">
        <v>6.3399999999999998E-2</v>
      </c>
      <c r="I11">
        <v>6.0999999999999999E-2</v>
      </c>
      <c r="J11">
        <v>6.7500000000000004E-2</v>
      </c>
      <c r="K11">
        <v>6.6000000000000003E-2</v>
      </c>
      <c r="M11" s="3">
        <f t="shared" si="0"/>
        <v>5.4588888888888888E-2</v>
      </c>
      <c r="N11">
        <f t="shared" si="1"/>
        <v>4.58E-2</v>
      </c>
      <c r="O11">
        <f t="shared" si="4"/>
        <v>5.0250000000000003E-2</v>
      </c>
      <c r="P11">
        <f t="shared" si="2"/>
        <v>6.2199999999999998E-2</v>
      </c>
      <c r="Q11">
        <f t="shared" si="3"/>
        <v>6.6750000000000004E-2</v>
      </c>
    </row>
    <row r="12" spans="2:17" x14ac:dyDescent="0.2">
      <c r="B12" t="s">
        <v>6</v>
      </c>
      <c r="C12">
        <v>3.3E-3</v>
      </c>
      <c r="D12">
        <v>0</v>
      </c>
      <c r="E12">
        <v>0</v>
      </c>
      <c r="F12">
        <v>2.5000000000000001E-3</v>
      </c>
      <c r="G12">
        <v>2.2100000000000002E-2</v>
      </c>
      <c r="H12">
        <v>3.1300000000000001E-2</v>
      </c>
      <c r="I12">
        <v>5.28E-2</v>
      </c>
      <c r="J12">
        <v>2.12E-2</v>
      </c>
      <c r="K12">
        <v>1.7500000000000002E-2</v>
      </c>
      <c r="M12" s="3">
        <f t="shared" si="0"/>
        <v>1.6744444444444444E-2</v>
      </c>
      <c r="N12">
        <f t="shared" si="1"/>
        <v>3.3E-3</v>
      </c>
      <c r="O12">
        <f t="shared" si="4"/>
        <v>1.23E-2</v>
      </c>
      <c r="P12">
        <f t="shared" si="2"/>
        <v>4.2050000000000004E-2</v>
      </c>
      <c r="Q12">
        <f t="shared" si="3"/>
        <v>1.9349999999999999E-2</v>
      </c>
    </row>
    <row r="13" spans="2:17" x14ac:dyDescent="0.2">
      <c r="B13" t="s">
        <v>7</v>
      </c>
      <c r="C13">
        <v>9.7999999999999997E-3</v>
      </c>
      <c r="D13">
        <v>2E-3</v>
      </c>
      <c r="E13">
        <v>1.89E-2</v>
      </c>
      <c r="F13">
        <v>4.41E-2</v>
      </c>
      <c r="G13">
        <v>4.8099999999999997E-2</v>
      </c>
      <c r="H13">
        <v>6.5199999999999994E-2</v>
      </c>
      <c r="I13">
        <v>3.4000000000000002E-2</v>
      </c>
      <c r="J13">
        <v>3.5700000000000003E-2</v>
      </c>
      <c r="K13">
        <v>0.04</v>
      </c>
      <c r="M13" s="3">
        <f t="shared" si="0"/>
        <v>3.3088888888888883E-2</v>
      </c>
      <c r="N13">
        <f t="shared" si="1"/>
        <v>9.7999999999999997E-3</v>
      </c>
      <c r="O13">
        <f t="shared" si="4"/>
        <v>4.6100000000000002E-2</v>
      </c>
      <c r="P13">
        <f t="shared" si="2"/>
        <v>4.9599999999999998E-2</v>
      </c>
      <c r="Q13">
        <f t="shared" si="3"/>
        <v>3.7850000000000002E-2</v>
      </c>
    </row>
    <row r="14" spans="2:17" x14ac:dyDescent="0.2">
      <c r="B14" t="s">
        <v>8</v>
      </c>
      <c r="C14">
        <v>3.6499999999999998E-2</v>
      </c>
      <c r="D14">
        <v>3.8999999999999998E-3</v>
      </c>
      <c r="E14">
        <v>1.5800000000000002E-2</v>
      </c>
      <c r="F14">
        <v>2.58E-2</v>
      </c>
      <c r="G14">
        <v>3.3700000000000001E-2</v>
      </c>
      <c r="H14">
        <v>3.8199999999999998E-2</v>
      </c>
      <c r="I14">
        <v>4.58E-2</v>
      </c>
      <c r="J14">
        <v>4.48E-2</v>
      </c>
      <c r="K14">
        <v>3.44E-2</v>
      </c>
      <c r="M14" s="3">
        <f t="shared" si="0"/>
        <v>3.0988888888888885E-2</v>
      </c>
      <c r="N14">
        <f t="shared" si="1"/>
        <v>3.6499999999999998E-2</v>
      </c>
      <c r="O14">
        <f t="shared" si="4"/>
        <v>2.9749999999999999E-2</v>
      </c>
      <c r="P14">
        <f t="shared" si="2"/>
        <v>4.1999999999999996E-2</v>
      </c>
      <c r="Q14">
        <f t="shared" si="3"/>
        <v>3.9599999999999996E-2</v>
      </c>
    </row>
    <row r="15" spans="2:17" x14ac:dyDescent="0.2">
      <c r="B15" t="s">
        <v>9</v>
      </c>
      <c r="C15">
        <v>5.1000000000000004E-3</v>
      </c>
      <c r="D15">
        <v>0</v>
      </c>
      <c r="E15">
        <v>0</v>
      </c>
      <c r="F15">
        <v>6.8199999999999997E-2</v>
      </c>
      <c r="G15">
        <v>3.4200000000000001E-2</v>
      </c>
      <c r="H15">
        <v>2.7799999999999998E-2</v>
      </c>
      <c r="I15">
        <v>8.3999999999999995E-3</v>
      </c>
      <c r="J15">
        <v>1.06E-2</v>
      </c>
      <c r="K15">
        <v>4.2599999999999999E-2</v>
      </c>
      <c r="M15" s="3">
        <f t="shared" si="0"/>
        <v>2.1877777777777777E-2</v>
      </c>
      <c r="N15">
        <f t="shared" si="1"/>
        <v>5.1000000000000004E-3</v>
      </c>
      <c r="O15">
        <f t="shared" si="4"/>
        <v>5.1199999999999996E-2</v>
      </c>
      <c r="P15">
        <f t="shared" si="2"/>
        <v>1.8099999999999998E-2</v>
      </c>
      <c r="Q15">
        <f t="shared" si="3"/>
        <v>2.6599999999999999E-2</v>
      </c>
    </row>
    <row r="16" spans="2:17" x14ac:dyDescent="0.2">
      <c r="B16" t="s">
        <v>10</v>
      </c>
      <c r="C16">
        <v>9.8900000000000002E-2</v>
      </c>
      <c r="D16">
        <v>3.1300000000000001E-2</v>
      </c>
      <c r="E16">
        <v>0.1095</v>
      </c>
      <c r="F16">
        <v>9.1999999999999998E-3</v>
      </c>
      <c r="G16">
        <v>3.09E-2</v>
      </c>
      <c r="H16">
        <v>3.8199999999999998E-2</v>
      </c>
      <c r="I16">
        <v>8.09E-2</v>
      </c>
      <c r="J16">
        <v>3.8699999999999998E-2</v>
      </c>
      <c r="K16">
        <v>7.0199999999999999E-2</v>
      </c>
      <c r="M16" s="3">
        <f t="shared" si="0"/>
        <v>5.6422222222222228E-2</v>
      </c>
      <c r="N16">
        <f t="shared" si="1"/>
        <v>9.8900000000000002E-2</v>
      </c>
      <c r="O16">
        <f t="shared" si="4"/>
        <v>2.0049999999999998E-2</v>
      </c>
      <c r="P16">
        <f t="shared" si="2"/>
        <v>5.9549999999999999E-2</v>
      </c>
      <c r="Q16">
        <f t="shared" si="3"/>
        <v>5.4449999999999998E-2</v>
      </c>
    </row>
    <row r="17" spans="2:17" x14ac:dyDescent="0.2">
      <c r="B17" t="s">
        <v>11</v>
      </c>
      <c r="C17">
        <v>3.7000000000000002E-3</v>
      </c>
      <c r="D17">
        <v>0</v>
      </c>
      <c r="E17">
        <v>0</v>
      </c>
      <c r="F17">
        <v>5.4899999999999997E-2</v>
      </c>
      <c r="G17">
        <v>3.2000000000000001E-2</v>
      </c>
      <c r="H17">
        <v>4.9500000000000002E-2</v>
      </c>
      <c r="I17">
        <v>5.7000000000000002E-3</v>
      </c>
      <c r="J17">
        <v>0</v>
      </c>
      <c r="K17">
        <v>3.9600000000000003E-2</v>
      </c>
      <c r="M17" s="3">
        <f t="shared" si="0"/>
        <v>2.06E-2</v>
      </c>
      <c r="N17">
        <f t="shared" si="1"/>
        <v>3.7000000000000002E-3</v>
      </c>
      <c r="O17">
        <f t="shared" si="4"/>
        <v>4.3450000000000003E-2</v>
      </c>
      <c r="P17">
        <f t="shared" si="2"/>
        <v>2.76E-2</v>
      </c>
      <c r="Q17">
        <f t="shared" si="3"/>
        <v>1.9800000000000002E-2</v>
      </c>
    </row>
    <row r="18" spans="2:17" x14ac:dyDescent="0.2">
      <c r="B18" t="s">
        <v>12</v>
      </c>
      <c r="C18">
        <v>1.9E-3</v>
      </c>
      <c r="D18">
        <v>0</v>
      </c>
      <c r="E18">
        <v>0</v>
      </c>
      <c r="F18">
        <v>2.9100000000000001E-2</v>
      </c>
      <c r="G18">
        <v>1.43E-2</v>
      </c>
      <c r="H18">
        <v>2.2599999999999999E-2</v>
      </c>
      <c r="I18">
        <v>2.5999999999999999E-3</v>
      </c>
      <c r="J18">
        <v>0</v>
      </c>
      <c r="K18">
        <v>2.1100000000000001E-2</v>
      </c>
      <c r="M18" s="3">
        <f t="shared" si="0"/>
        <v>1.0177777777777779E-2</v>
      </c>
      <c r="N18">
        <f t="shared" si="1"/>
        <v>1.9E-3</v>
      </c>
      <c r="O18">
        <f t="shared" si="4"/>
        <v>2.1700000000000001E-2</v>
      </c>
      <c r="P18">
        <f t="shared" si="2"/>
        <v>1.26E-2</v>
      </c>
      <c r="Q18">
        <f t="shared" si="3"/>
        <v>1.055E-2</v>
      </c>
    </row>
    <row r="19" spans="2:17" x14ac:dyDescent="0.2">
      <c r="B19" t="s">
        <v>13</v>
      </c>
      <c r="C19">
        <v>5.7999999999999996E-3</v>
      </c>
      <c r="D19">
        <v>2E-3</v>
      </c>
      <c r="E19">
        <v>7.9000000000000008E-3</v>
      </c>
      <c r="F19">
        <v>3.7400000000000003E-2</v>
      </c>
      <c r="G19">
        <v>4.6399999999999997E-2</v>
      </c>
      <c r="H19">
        <v>4.6899999999999997E-2</v>
      </c>
      <c r="I19">
        <v>2.7699999999999999E-2</v>
      </c>
      <c r="J19">
        <v>3.49E-2</v>
      </c>
      <c r="K19">
        <v>2.41E-2</v>
      </c>
      <c r="M19" s="3">
        <f t="shared" si="0"/>
        <v>2.5900000000000003E-2</v>
      </c>
      <c r="N19">
        <f t="shared" si="1"/>
        <v>5.7999999999999996E-3</v>
      </c>
      <c r="O19">
        <f t="shared" si="4"/>
        <v>4.19E-2</v>
      </c>
      <c r="P19">
        <f t="shared" si="2"/>
        <v>3.73E-2</v>
      </c>
      <c r="Q19">
        <f t="shared" si="3"/>
        <v>2.9499999999999998E-2</v>
      </c>
    </row>
    <row r="20" spans="2:17" x14ac:dyDescent="0.2">
      <c r="B20" t="s">
        <v>14</v>
      </c>
      <c r="C20">
        <v>6.1100000000000002E-2</v>
      </c>
      <c r="D20">
        <v>8.8099999999999998E-2</v>
      </c>
      <c r="E20">
        <v>8.2100000000000006E-2</v>
      </c>
      <c r="F20">
        <v>8.1500000000000003E-2</v>
      </c>
      <c r="G20">
        <v>9.2899999999999996E-2</v>
      </c>
      <c r="H20">
        <v>5.7299999999999997E-2</v>
      </c>
      <c r="I20">
        <v>6.7000000000000004E-2</v>
      </c>
      <c r="J20">
        <v>8.9499999999999996E-2</v>
      </c>
      <c r="K20">
        <v>7.0599999999999996E-2</v>
      </c>
      <c r="M20" s="3">
        <f t="shared" si="0"/>
        <v>7.6677777777777789E-2</v>
      </c>
      <c r="N20">
        <f t="shared" si="1"/>
        <v>6.1100000000000002E-2</v>
      </c>
      <c r="O20">
        <f t="shared" si="4"/>
        <v>8.72E-2</v>
      </c>
      <c r="P20">
        <f t="shared" si="2"/>
        <v>6.2149999999999997E-2</v>
      </c>
      <c r="Q20">
        <f t="shared" si="3"/>
        <v>8.0049999999999996E-2</v>
      </c>
    </row>
    <row r="21" spans="2:17" x14ac:dyDescent="0.2">
      <c r="B21" t="s">
        <v>15</v>
      </c>
      <c r="C21">
        <v>9.7500000000000003E-2</v>
      </c>
      <c r="D21">
        <v>4.7E-2</v>
      </c>
      <c r="E21">
        <v>0.13439999999999999</v>
      </c>
      <c r="F21">
        <v>8.0000000000000004E-4</v>
      </c>
      <c r="G21">
        <v>2.3699999999999999E-2</v>
      </c>
      <c r="H21">
        <v>3.6499999999999998E-2</v>
      </c>
      <c r="I21">
        <v>6.3299999999999995E-2</v>
      </c>
      <c r="J21">
        <v>2.6599999999999999E-2</v>
      </c>
      <c r="K21">
        <v>4.7300000000000002E-2</v>
      </c>
      <c r="M21" s="3">
        <f t="shared" si="0"/>
        <v>5.3011111111111113E-2</v>
      </c>
      <c r="N21">
        <f t="shared" si="1"/>
        <v>9.7500000000000003E-2</v>
      </c>
      <c r="O21">
        <f t="shared" si="4"/>
        <v>1.2249999999999999E-2</v>
      </c>
      <c r="P21">
        <f t="shared" si="2"/>
        <v>4.99E-2</v>
      </c>
      <c r="Q21">
        <f t="shared" si="3"/>
        <v>3.6949999999999997E-2</v>
      </c>
    </row>
    <row r="22" spans="2:17" x14ac:dyDescent="0.2">
      <c r="B22" t="s">
        <v>16</v>
      </c>
      <c r="C22">
        <v>3.7000000000000002E-3</v>
      </c>
      <c r="D22">
        <v>0</v>
      </c>
      <c r="E22">
        <v>2.3999999999999998E-3</v>
      </c>
      <c r="F22">
        <v>4.6600000000000003E-2</v>
      </c>
      <c r="G22">
        <v>3.7499999999999999E-2</v>
      </c>
      <c r="H22">
        <v>2.9499999999999998E-2</v>
      </c>
      <c r="I22">
        <v>1.5900000000000001E-2</v>
      </c>
      <c r="J22">
        <v>2.12E-2</v>
      </c>
      <c r="K22">
        <v>2.2700000000000001E-2</v>
      </c>
      <c r="M22" s="3">
        <f t="shared" si="0"/>
        <v>1.9944444444444445E-2</v>
      </c>
      <c r="N22">
        <f t="shared" si="1"/>
        <v>3.7000000000000002E-3</v>
      </c>
      <c r="O22">
        <f t="shared" si="4"/>
        <v>4.2050000000000004E-2</v>
      </c>
      <c r="P22">
        <f t="shared" si="2"/>
        <v>2.2699999999999998E-2</v>
      </c>
      <c r="Q22">
        <f t="shared" si="3"/>
        <v>2.1950000000000001E-2</v>
      </c>
    </row>
    <row r="23" spans="2:17" x14ac:dyDescent="0.2">
      <c r="B23" t="s">
        <v>17</v>
      </c>
      <c r="C23">
        <v>6.1999999999999998E-3</v>
      </c>
      <c r="D23">
        <v>0</v>
      </c>
      <c r="E23">
        <v>5.9999999999999995E-4</v>
      </c>
      <c r="F23">
        <v>7.3999999999999996E-2</v>
      </c>
      <c r="G23">
        <v>3.8100000000000002E-2</v>
      </c>
      <c r="H23">
        <v>1.8200000000000001E-2</v>
      </c>
      <c r="I23">
        <v>1.34E-2</v>
      </c>
      <c r="J23">
        <v>2.12E-2</v>
      </c>
      <c r="K23">
        <v>4.3799999999999999E-2</v>
      </c>
      <c r="M23" s="3">
        <f t="shared" si="0"/>
        <v>2.3944444444444445E-2</v>
      </c>
      <c r="N23">
        <f t="shared" si="1"/>
        <v>6.1999999999999998E-3</v>
      </c>
      <c r="O23">
        <f t="shared" si="4"/>
        <v>5.6050000000000003E-2</v>
      </c>
      <c r="P23">
        <f t="shared" si="2"/>
        <v>1.5800000000000002E-2</v>
      </c>
      <c r="Q23">
        <f t="shared" si="3"/>
        <v>3.2500000000000001E-2</v>
      </c>
    </row>
    <row r="24" spans="2:17" x14ac:dyDescent="0.2">
      <c r="B24" t="s">
        <v>18</v>
      </c>
      <c r="C24">
        <v>3.0000000000000001E-3</v>
      </c>
      <c r="D24">
        <v>0</v>
      </c>
      <c r="E24">
        <v>1.1999999999999999E-3</v>
      </c>
      <c r="F24">
        <v>6.7000000000000002E-3</v>
      </c>
      <c r="G24">
        <v>2.2100000000000002E-2</v>
      </c>
      <c r="H24">
        <v>3.56E-2</v>
      </c>
      <c r="I24">
        <v>5.4899999999999997E-2</v>
      </c>
      <c r="J24">
        <v>1.7500000000000002E-2</v>
      </c>
      <c r="K24">
        <v>1.6299999999999999E-2</v>
      </c>
      <c r="M24" s="3">
        <f t="shared" si="0"/>
        <v>1.747777777777778E-2</v>
      </c>
      <c r="N24">
        <f t="shared" si="1"/>
        <v>3.0000000000000001E-3</v>
      </c>
      <c r="O24">
        <f t="shared" si="4"/>
        <v>1.4400000000000001E-2</v>
      </c>
      <c r="P24">
        <f t="shared" si="2"/>
        <v>4.5249999999999999E-2</v>
      </c>
      <c r="Q24">
        <f t="shared" si="3"/>
        <v>1.6899999999999998E-2</v>
      </c>
    </row>
    <row r="25" spans="2:17" x14ac:dyDescent="0.2">
      <c r="B25" t="s">
        <v>19</v>
      </c>
      <c r="C25">
        <v>0.33250000000000002</v>
      </c>
      <c r="D25">
        <v>0.62419999999999998</v>
      </c>
      <c r="E25">
        <v>0.2908</v>
      </c>
      <c r="F25">
        <v>6.1600000000000002E-2</v>
      </c>
      <c r="G25">
        <v>0.15429999999999999</v>
      </c>
      <c r="H25">
        <v>0.15459999999999999</v>
      </c>
      <c r="I25">
        <v>0.1792</v>
      </c>
      <c r="J25">
        <v>0.25040000000000001</v>
      </c>
      <c r="K25">
        <v>0.2089</v>
      </c>
      <c r="M25" s="3">
        <f t="shared" si="0"/>
        <v>0.25072222222222224</v>
      </c>
      <c r="N25">
        <f t="shared" si="1"/>
        <v>0.33250000000000002</v>
      </c>
      <c r="O25">
        <f t="shared" si="4"/>
        <v>0.10794999999999999</v>
      </c>
      <c r="P25">
        <f t="shared" si="2"/>
        <v>0.16689999999999999</v>
      </c>
      <c r="Q25">
        <f t="shared" si="3"/>
        <v>0.22965000000000002</v>
      </c>
    </row>
    <row r="26" spans="2:17" ht="5" customHeight="1" thickBot="1" x14ac:dyDescent="0.25"/>
    <row r="27" spans="2:17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x14ac:dyDescent="0.2">
      <c r="B28" t="s">
        <v>36</v>
      </c>
    </row>
    <row r="29" spans="2:17" x14ac:dyDescent="0.2">
      <c r="B29" t="s">
        <v>37</v>
      </c>
    </row>
    <row r="30" spans="2:17" x14ac:dyDescent="0.2">
      <c r="B30" t="s">
        <v>38</v>
      </c>
    </row>
    <row r="31" spans="2:17" x14ac:dyDescent="0.2">
      <c r="B31" t="s">
        <v>39</v>
      </c>
      <c r="C31">
        <f>SUM(C25,C9,C21)</f>
        <v>0.56640000000000001</v>
      </c>
      <c r="D31">
        <f>SUM(D25,D9,D20)</f>
        <v>0.82969999999999999</v>
      </c>
      <c r="E31">
        <f>SUM(E25,E9,E21)</f>
        <v>0.56330000000000002</v>
      </c>
      <c r="F31">
        <f>SUM(F9,F15,F20)</f>
        <v>0.45579999999999998</v>
      </c>
      <c r="G31">
        <f>SUM(G9,G25,G20)</f>
        <v>0.41589999999999994</v>
      </c>
      <c r="H31">
        <f>SUM(H9,H25,H13)</f>
        <v>0.39699999999999996</v>
      </c>
      <c r="I31">
        <f>SUM(I9,I25,I16)</f>
        <v>0.36309999999999998</v>
      </c>
      <c r="J31">
        <f>SUM(J9,J25,J11)</f>
        <v>0.46660000000000001</v>
      </c>
      <c r="K31">
        <f>SUM(K9,K25,K20)</f>
        <v>0.3926</v>
      </c>
    </row>
    <row r="33" spans="2:11" x14ac:dyDescent="0.2">
      <c r="B33" t="s">
        <v>40</v>
      </c>
      <c r="C33">
        <f>MAX(C6:C25)</f>
        <v>0.33250000000000002</v>
      </c>
      <c r="D33">
        <f t="shared" ref="D33:K33" si="5">MAX(D6:D25)</f>
        <v>0.62419999999999998</v>
      </c>
      <c r="E33">
        <f t="shared" si="5"/>
        <v>0.2908</v>
      </c>
      <c r="F33">
        <f t="shared" si="5"/>
        <v>0.30609999999999998</v>
      </c>
      <c r="G33">
        <f t="shared" si="5"/>
        <v>0.16869999999999999</v>
      </c>
      <c r="H33">
        <f t="shared" si="5"/>
        <v>0.1772</v>
      </c>
      <c r="I33">
        <f t="shared" si="5"/>
        <v>0.1792</v>
      </c>
      <c r="J33">
        <f t="shared" si="5"/>
        <v>0.25040000000000001</v>
      </c>
      <c r="K33">
        <f t="shared" si="5"/>
        <v>0.2089</v>
      </c>
    </row>
  </sheetData>
  <mergeCells count="2">
    <mergeCell ref="N4:Q4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2025-08-07T22:10:55Z</dcterms:created>
  <dcterms:modified xsi:type="dcterms:W3CDTF">2025-08-07T23:43:42Z</dcterms:modified>
</cp:coreProperties>
</file>